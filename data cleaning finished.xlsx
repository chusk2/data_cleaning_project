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209" documentId="11_E60897F41BE170836B02CE998F75CCDC64E183C8" xr6:coauthVersionLast="47" xr6:coauthVersionMax="47" xr10:uidLastSave="{6B3AFAD2-97D0-46D4-8F1D-6A80F9C360CB}"/>
  <bookViews>
    <workbookView xWindow="240" yWindow="105" windowWidth="14805" windowHeight="8010" firstSheet="1" xr2:uid="{00000000-000D-0000-FFFF-FFFF00000000}"/>
  </bookViews>
  <sheets>
    <sheet name="clean data" sheetId="3" r:id="rId1"/>
    <sheet name="raw_data" sheetId="2" r:id="rId2"/>
    <sheet name="cleaned_names_no_symbols" sheetId="4" r:id="rId3"/>
  </sheets>
  <definedNames>
    <definedName name="ExternalData_1" localSheetId="2" hidden="1">cleaned_names_no_symbols!$A$1:$A$252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2" i="3" l="1"/>
  <c r="D252" i="3"/>
  <c r="G252" i="3"/>
  <c r="H252" i="3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" i="4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" i="4" l="1"/>
  <c r="D2" i="4" s="1"/>
  <c r="C252" i="4"/>
  <c r="D252" i="4" s="1"/>
  <c r="C251" i="4"/>
  <c r="D251" i="4" s="1"/>
  <c r="C250" i="4"/>
  <c r="D250" i="4" s="1"/>
  <c r="C249" i="4"/>
  <c r="D249" i="4" s="1"/>
  <c r="C248" i="4"/>
  <c r="D248" i="4" s="1"/>
  <c r="C247" i="4"/>
  <c r="D247" i="4" s="1"/>
  <c r="C246" i="4"/>
  <c r="D246" i="4" s="1"/>
  <c r="C245" i="4"/>
  <c r="D245" i="4" s="1"/>
  <c r="C244" i="4"/>
  <c r="D244" i="4" s="1"/>
  <c r="C243" i="4"/>
  <c r="D243" i="4" s="1"/>
  <c r="C242" i="4"/>
  <c r="D242" i="4" s="1"/>
  <c r="C241" i="4"/>
  <c r="D241" i="4" s="1"/>
  <c r="C240" i="4"/>
  <c r="D240" i="4" s="1"/>
  <c r="C239" i="4"/>
  <c r="D239" i="4" s="1"/>
  <c r="C238" i="4"/>
  <c r="D238" i="4" s="1"/>
  <c r="C237" i="4"/>
  <c r="D237" i="4" s="1"/>
  <c r="C236" i="4"/>
  <c r="D236" i="4" s="1"/>
  <c r="C235" i="4"/>
  <c r="D235" i="4" s="1"/>
  <c r="C234" i="4"/>
  <c r="D234" i="4" s="1"/>
  <c r="C233" i="4"/>
  <c r="D233" i="4" s="1"/>
  <c r="C232" i="4"/>
  <c r="D232" i="4" s="1"/>
  <c r="C231" i="4"/>
  <c r="D231" i="4" s="1"/>
  <c r="C230" i="4"/>
  <c r="D230" i="4" s="1"/>
  <c r="C229" i="4"/>
  <c r="D229" i="4" s="1"/>
  <c r="C228" i="4"/>
  <c r="D228" i="4" s="1"/>
  <c r="C227" i="4"/>
  <c r="D227" i="4" s="1"/>
  <c r="C226" i="4"/>
  <c r="D226" i="4" s="1"/>
  <c r="C225" i="4"/>
  <c r="D225" i="4" s="1"/>
  <c r="C224" i="4"/>
  <c r="D224" i="4" s="1"/>
  <c r="C223" i="4"/>
  <c r="D223" i="4" s="1"/>
  <c r="C222" i="4"/>
  <c r="D222" i="4" s="1"/>
  <c r="C221" i="4"/>
  <c r="D221" i="4" s="1"/>
  <c r="C220" i="4"/>
  <c r="D220" i="4" s="1"/>
  <c r="C219" i="4"/>
  <c r="D219" i="4" s="1"/>
  <c r="C218" i="4"/>
  <c r="D218" i="4" s="1"/>
  <c r="C217" i="4"/>
  <c r="D217" i="4" s="1"/>
  <c r="C216" i="4"/>
  <c r="D216" i="4" s="1"/>
  <c r="C215" i="4"/>
  <c r="D215" i="4" s="1"/>
  <c r="C214" i="4"/>
  <c r="D214" i="4" s="1"/>
  <c r="C213" i="4"/>
  <c r="D213" i="4" s="1"/>
  <c r="C212" i="4"/>
  <c r="D212" i="4" s="1"/>
  <c r="C211" i="4"/>
  <c r="D211" i="4" s="1"/>
  <c r="C210" i="4"/>
  <c r="D210" i="4" s="1"/>
  <c r="C209" i="4"/>
  <c r="D209" i="4" s="1"/>
  <c r="C208" i="4"/>
  <c r="D208" i="4" s="1"/>
  <c r="C207" i="4"/>
  <c r="D207" i="4" s="1"/>
  <c r="C206" i="4"/>
  <c r="D206" i="4" s="1"/>
  <c r="C205" i="4"/>
  <c r="D205" i="4" s="1"/>
  <c r="C204" i="4"/>
  <c r="D204" i="4" s="1"/>
  <c r="C203" i="4"/>
  <c r="D203" i="4" s="1"/>
  <c r="C202" i="4"/>
  <c r="D202" i="4" s="1"/>
  <c r="C201" i="4"/>
  <c r="D201" i="4" s="1"/>
  <c r="C200" i="4"/>
  <c r="D200" i="4" s="1"/>
  <c r="C199" i="4"/>
  <c r="D199" i="4" s="1"/>
  <c r="C198" i="4"/>
  <c r="D198" i="4" s="1"/>
  <c r="C197" i="4"/>
  <c r="D197" i="4" s="1"/>
  <c r="C196" i="4"/>
  <c r="D196" i="4" s="1"/>
  <c r="C195" i="4"/>
  <c r="D195" i="4" s="1"/>
  <c r="C194" i="4"/>
  <c r="D194" i="4" s="1"/>
  <c r="C193" i="4"/>
  <c r="D193" i="4" s="1"/>
  <c r="C192" i="4"/>
  <c r="D192" i="4" s="1"/>
  <c r="C191" i="4"/>
  <c r="D191" i="4" s="1"/>
  <c r="C190" i="4"/>
  <c r="D190" i="4" s="1"/>
  <c r="C189" i="4"/>
  <c r="D189" i="4" s="1"/>
  <c r="C188" i="4"/>
  <c r="D188" i="4" s="1"/>
  <c r="C187" i="4"/>
  <c r="D187" i="4" s="1"/>
  <c r="C186" i="4"/>
  <c r="D186" i="4" s="1"/>
  <c r="C185" i="4"/>
  <c r="D185" i="4" s="1"/>
  <c r="C184" i="4"/>
  <c r="D184" i="4" s="1"/>
  <c r="C183" i="4"/>
  <c r="D183" i="4" s="1"/>
  <c r="C182" i="4"/>
  <c r="D182" i="4" s="1"/>
  <c r="C181" i="4"/>
  <c r="D181" i="4" s="1"/>
  <c r="C180" i="4"/>
  <c r="D180" i="4" s="1"/>
  <c r="C179" i="4"/>
  <c r="D179" i="4" s="1"/>
  <c r="C178" i="4"/>
  <c r="D178" i="4" s="1"/>
  <c r="C177" i="4"/>
  <c r="D177" i="4" s="1"/>
  <c r="C176" i="4"/>
  <c r="D176" i="4" s="1"/>
  <c r="C175" i="4"/>
  <c r="D175" i="4" s="1"/>
  <c r="C174" i="4"/>
  <c r="D174" i="4" s="1"/>
  <c r="C173" i="4"/>
  <c r="D173" i="4" s="1"/>
  <c r="C172" i="4"/>
  <c r="D172" i="4" s="1"/>
  <c r="C171" i="4"/>
  <c r="D171" i="4" s="1"/>
  <c r="C170" i="4"/>
  <c r="D170" i="4" s="1"/>
  <c r="C169" i="4"/>
  <c r="D169" i="4" s="1"/>
  <c r="C168" i="4"/>
  <c r="D168" i="4" s="1"/>
  <c r="C167" i="4"/>
  <c r="D167" i="4" s="1"/>
  <c r="C166" i="4"/>
  <c r="D166" i="4" s="1"/>
  <c r="C165" i="4"/>
  <c r="D165" i="4" s="1"/>
  <c r="C164" i="4"/>
  <c r="D164" i="4" s="1"/>
  <c r="C163" i="4"/>
  <c r="D163" i="4" s="1"/>
  <c r="C162" i="4"/>
  <c r="D162" i="4" s="1"/>
  <c r="C161" i="4"/>
  <c r="D161" i="4" s="1"/>
  <c r="C160" i="4"/>
  <c r="D160" i="4" s="1"/>
  <c r="C159" i="4"/>
  <c r="D159" i="4" s="1"/>
  <c r="C158" i="4"/>
  <c r="D158" i="4" s="1"/>
  <c r="C157" i="4"/>
  <c r="D157" i="4" s="1"/>
  <c r="C156" i="4"/>
  <c r="D156" i="4" s="1"/>
  <c r="C155" i="4"/>
  <c r="D155" i="4" s="1"/>
  <c r="C154" i="4"/>
  <c r="D154" i="4" s="1"/>
  <c r="C153" i="4"/>
  <c r="D153" i="4" s="1"/>
  <c r="C152" i="4"/>
  <c r="D152" i="4" s="1"/>
  <c r="C151" i="4"/>
  <c r="D151" i="4" s="1"/>
  <c r="C150" i="4"/>
  <c r="D150" i="4" s="1"/>
  <c r="C149" i="4"/>
  <c r="D149" i="4" s="1"/>
  <c r="C148" i="4"/>
  <c r="D148" i="4" s="1"/>
  <c r="C147" i="4"/>
  <c r="D147" i="4" s="1"/>
  <c r="C146" i="4"/>
  <c r="D146" i="4" s="1"/>
  <c r="C145" i="4"/>
  <c r="D145" i="4" s="1"/>
  <c r="C144" i="4"/>
  <c r="D144" i="4" s="1"/>
  <c r="C143" i="4"/>
  <c r="D143" i="4" s="1"/>
  <c r="C142" i="4"/>
  <c r="D142" i="4" s="1"/>
  <c r="C141" i="4"/>
  <c r="D141" i="4" s="1"/>
  <c r="C140" i="4"/>
  <c r="D140" i="4" s="1"/>
  <c r="C139" i="4"/>
  <c r="D139" i="4" s="1"/>
  <c r="C138" i="4"/>
  <c r="D138" i="4" s="1"/>
  <c r="C137" i="4"/>
  <c r="D137" i="4" s="1"/>
  <c r="C136" i="4"/>
  <c r="D136" i="4" s="1"/>
  <c r="C135" i="4"/>
  <c r="D135" i="4" s="1"/>
  <c r="C134" i="4"/>
  <c r="D134" i="4" s="1"/>
  <c r="C133" i="4"/>
  <c r="D133" i="4" s="1"/>
  <c r="C132" i="4"/>
  <c r="D132" i="4" s="1"/>
  <c r="C131" i="4"/>
  <c r="D131" i="4" s="1"/>
  <c r="C130" i="4"/>
  <c r="D130" i="4" s="1"/>
  <c r="C129" i="4"/>
  <c r="D129" i="4" s="1"/>
  <c r="C128" i="4"/>
  <c r="D128" i="4" s="1"/>
  <c r="C127" i="4"/>
  <c r="D127" i="4" s="1"/>
  <c r="C126" i="4"/>
  <c r="D126" i="4" s="1"/>
  <c r="C125" i="4"/>
  <c r="D125" i="4" s="1"/>
  <c r="C124" i="4"/>
  <c r="D124" i="4" s="1"/>
  <c r="C123" i="4"/>
  <c r="D123" i="4" s="1"/>
  <c r="C122" i="4"/>
  <c r="D122" i="4" s="1"/>
  <c r="C121" i="4"/>
  <c r="D121" i="4" s="1"/>
  <c r="C120" i="4"/>
  <c r="D120" i="4" s="1"/>
  <c r="C119" i="4"/>
  <c r="D119" i="4" s="1"/>
  <c r="C118" i="4"/>
  <c r="D118" i="4" s="1"/>
  <c r="C117" i="4"/>
  <c r="D117" i="4" s="1"/>
  <c r="C116" i="4"/>
  <c r="D116" i="4" s="1"/>
  <c r="C115" i="4"/>
  <c r="D115" i="4" s="1"/>
  <c r="C114" i="4"/>
  <c r="D114" i="4" s="1"/>
  <c r="C113" i="4"/>
  <c r="D113" i="4" s="1"/>
  <c r="C112" i="4"/>
  <c r="D112" i="4" s="1"/>
  <c r="C111" i="4"/>
  <c r="D111" i="4" s="1"/>
  <c r="C110" i="4"/>
  <c r="D110" i="4" s="1"/>
  <c r="C109" i="4"/>
  <c r="D109" i="4" s="1"/>
  <c r="C108" i="4"/>
  <c r="D108" i="4" s="1"/>
  <c r="C107" i="4"/>
  <c r="D107" i="4" s="1"/>
  <c r="C106" i="4"/>
  <c r="D106" i="4" s="1"/>
  <c r="C105" i="4"/>
  <c r="D105" i="4" s="1"/>
  <c r="C104" i="4"/>
  <c r="D104" i="4" s="1"/>
  <c r="C103" i="4"/>
  <c r="D103" i="4" s="1"/>
  <c r="C102" i="4"/>
  <c r="D102" i="4" s="1"/>
  <c r="C101" i="4"/>
  <c r="D101" i="4" s="1"/>
  <c r="C100" i="4"/>
  <c r="D100" i="4" s="1"/>
  <c r="C99" i="4"/>
  <c r="D99" i="4" s="1"/>
  <c r="C98" i="4"/>
  <c r="D98" i="4" s="1"/>
  <c r="C97" i="4"/>
  <c r="D97" i="4" s="1"/>
  <c r="C96" i="4"/>
  <c r="D96" i="4" s="1"/>
  <c r="C95" i="4"/>
  <c r="D95" i="4" s="1"/>
  <c r="C94" i="4"/>
  <c r="D94" i="4" s="1"/>
  <c r="C93" i="4"/>
  <c r="D93" i="4" s="1"/>
  <c r="C92" i="4"/>
  <c r="D92" i="4" s="1"/>
  <c r="C91" i="4"/>
  <c r="D91" i="4" s="1"/>
  <c r="C90" i="4"/>
  <c r="D90" i="4" s="1"/>
  <c r="C89" i="4"/>
  <c r="D89" i="4" s="1"/>
  <c r="C88" i="4"/>
  <c r="D88" i="4" s="1"/>
  <c r="C87" i="4"/>
  <c r="D87" i="4" s="1"/>
  <c r="C86" i="4"/>
  <c r="D86" i="4" s="1"/>
  <c r="C85" i="4"/>
  <c r="D85" i="4" s="1"/>
  <c r="C84" i="4"/>
  <c r="D84" i="4" s="1"/>
  <c r="C83" i="4"/>
  <c r="D83" i="4" s="1"/>
  <c r="C82" i="4"/>
  <c r="D82" i="4" s="1"/>
  <c r="C81" i="4"/>
  <c r="D81" i="4" s="1"/>
  <c r="C80" i="4"/>
  <c r="D80" i="4" s="1"/>
  <c r="C79" i="4"/>
  <c r="D79" i="4" s="1"/>
  <c r="C78" i="4"/>
  <c r="D78" i="4" s="1"/>
  <c r="C77" i="4"/>
  <c r="D77" i="4" s="1"/>
  <c r="C76" i="4"/>
  <c r="D76" i="4" s="1"/>
  <c r="C75" i="4"/>
  <c r="D75" i="4" s="1"/>
  <c r="C74" i="4"/>
  <c r="D74" i="4" s="1"/>
  <c r="C73" i="4"/>
  <c r="D73" i="4" s="1"/>
  <c r="C72" i="4"/>
  <c r="D72" i="4" s="1"/>
  <c r="C71" i="4"/>
  <c r="D71" i="4" s="1"/>
  <c r="C70" i="4"/>
  <c r="D70" i="4" s="1"/>
  <c r="C69" i="4"/>
  <c r="D69" i="4" s="1"/>
  <c r="C68" i="4"/>
  <c r="D68" i="4" s="1"/>
  <c r="C67" i="4"/>
  <c r="D67" i="4" s="1"/>
  <c r="C66" i="4"/>
  <c r="D66" i="4" s="1"/>
  <c r="C65" i="4"/>
  <c r="D65" i="4" s="1"/>
  <c r="C64" i="4"/>
  <c r="D64" i="4" s="1"/>
  <c r="C63" i="4"/>
  <c r="D63" i="4" s="1"/>
  <c r="C62" i="4"/>
  <c r="D62" i="4" s="1"/>
  <c r="C61" i="4"/>
  <c r="D61" i="4" s="1"/>
  <c r="C60" i="4"/>
  <c r="D60" i="4" s="1"/>
  <c r="C59" i="4"/>
  <c r="D59" i="4" s="1"/>
  <c r="C58" i="4"/>
  <c r="D58" i="4" s="1"/>
  <c r="C57" i="4"/>
  <c r="D57" i="4" s="1"/>
  <c r="C56" i="4"/>
  <c r="D56" i="4" s="1"/>
  <c r="C55" i="4"/>
  <c r="D55" i="4" s="1"/>
  <c r="C54" i="4"/>
  <c r="D54" i="4" s="1"/>
  <c r="C53" i="4"/>
  <c r="D53" i="4" s="1"/>
  <c r="C52" i="4"/>
  <c r="D52" i="4" s="1"/>
  <c r="C51" i="4"/>
  <c r="D51" i="4" s="1"/>
  <c r="C50" i="4"/>
  <c r="D50" i="4" s="1"/>
  <c r="C49" i="4"/>
  <c r="D49" i="4" s="1"/>
  <c r="C48" i="4"/>
  <c r="D48" i="4" s="1"/>
  <c r="C47" i="4"/>
  <c r="D47" i="4" s="1"/>
  <c r="C46" i="4"/>
  <c r="D46" i="4" s="1"/>
  <c r="C45" i="4"/>
  <c r="D45" i="4" s="1"/>
  <c r="C44" i="4"/>
  <c r="D44" i="4" s="1"/>
  <c r="C43" i="4"/>
  <c r="D43" i="4" s="1"/>
  <c r="C42" i="4"/>
  <c r="D42" i="4" s="1"/>
  <c r="C41" i="4"/>
  <c r="D41" i="4" s="1"/>
  <c r="C40" i="4"/>
  <c r="D40" i="4" s="1"/>
  <c r="C39" i="4"/>
  <c r="D39" i="4" s="1"/>
  <c r="C38" i="4"/>
  <c r="D38" i="4" s="1"/>
  <c r="C37" i="4"/>
  <c r="D37" i="4" s="1"/>
  <c r="C36" i="4"/>
  <c r="D36" i="4" s="1"/>
  <c r="C35" i="4"/>
  <c r="D35" i="4" s="1"/>
  <c r="C34" i="4"/>
  <c r="D34" i="4" s="1"/>
  <c r="C33" i="4"/>
  <c r="D33" i="4" s="1"/>
  <c r="C32" i="4"/>
  <c r="D32" i="4" s="1"/>
  <c r="C31" i="4"/>
  <c r="D31" i="4" s="1"/>
  <c r="C30" i="4"/>
  <c r="D30" i="4" s="1"/>
  <c r="C29" i="4"/>
  <c r="D29" i="4" s="1"/>
  <c r="C28" i="4"/>
  <c r="D28" i="4" s="1"/>
  <c r="C27" i="4"/>
  <c r="D27" i="4" s="1"/>
  <c r="C26" i="4"/>
  <c r="D26" i="4" s="1"/>
  <c r="C25" i="4"/>
  <c r="D25" i="4" s="1"/>
  <c r="C24" i="4"/>
  <c r="D24" i="4" s="1"/>
  <c r="C23" i="4"/>
  <c r="D23" i="4" s="1"/>
  <c r="C22" i="4"/>
  <c r="D22" i="4" s="1"/>
  <c r="C21" i="4"/>
  <c r="D21" i="4" s="1"/>
  <c r="C20" i="4"/>
  <c r="D20" i="4" s="1"/>
  <c r="C19" i="4"/>
  <c r="D19" i="4" s="1"/>
  <c r="C18" i="4"/>
  <c r="D18" i="4" s="1"/>
  <c r="C17" i="4"/>
  <c r="D17" i="4" s="1"/>
  <c r="C16" i="4"/>
  <c r="D16" i="4" s="1"/>
  <c r="C15" i="4"/>
  <c r="D15" i="4" s="1"/>
  <c r="C14" i="4"/>
  <c r="D14" i="4" s="1"/>
  <c r="C13" i="4"/>
  <c r="D13" i="4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C6DFF5-056B-42F3-8824-EC6CD7F51B71}" keepAlive="1" name="Query - cleaned_names" description="Connection to the 'cleaned_names' query in the workbook." type="5" refreshedVersion="8" background="1">
    <dbPr connection="Provider=Microsoft.Mashup.OleDb.1;Data Source=$Workbook$;Location=cleaned_names;Extended Properties=&quot;&quot;" command="SELECT * FROM [cleaned_names]"/>
  </connection>
  <connection id="2" xr16:uid="{2D2245AC-F471-4774-97F6-360FC22AC353}" keepAlive="1" name="Query - cleaned_names_no_symbols 1" description="Connection to the 'cleaned_names_no_symbols 1' query in the workbook." type="5" refreshedVersion="8" background="1">
    <dbPr connection="Provider=Microsoft.Mashup.OleDb.1;Data Source=$Workbook$;Location=cleaned_names_no_symbols 1;Extended Properties=&quot;&quot;" command="SELECT * FROM [cleaned_names_no_symbols 1]"/>
  </connection>
  <connection id="3" xr16:uid="{7C69BF01-EDA7-43AB-A27A-A9EA3546742A}" keepAlive="1" name="Query - raw_data 2" description="Connection to the 'raw_data 2' query in the workbook." type="5" refreshedVersion="0" background="1">
    <dbPr connection="Provider=Microsoft.Mashup.OleDb.1;Data Source=$Workbook$;Location=raw_data 2;Extended Properties=&quot;&quot;" command="SELECT * FROM [raw_data 2]"/>
  </connection>
</connections>
</file>

<file path=xl/sharedStrings.xml><?xml version="1.0" encoding="utf-8"?>
<sst xmlns="http://schemas.openxmlformats.org/spreadsheetml/2006/main" count="2302" uniqueCount="1131">
  <si>
    <t>ID</t>
  </si>
  <si>
    <t>name</t>
  </si>
  <si>
    <t>gender</t>
  </si>
  <si>
    <t>department</t>
  </si>
  <si>
    <t>salary</t>
  </si>
  <si>
    <t>contract_start_date</t>
  </si>
  <si>
    <t>tenure</t>
  </si>
  <si>
    <t>contract_type</t>
  </si>
  <si>
    <t>country</t>
  </si>
  <si>
    <t>Wolfgang Frank Fischer</t>
  </si>
  <si>
    <t>Germany</t>
  </si>
  <si>
    <t>Sachiko Yoshiko Yamamoto</t>
  </si>
  <si>
    <t>Japan</t>
  </si>
  <si>
    <t>Yuki Hiroshi Yamamoto</t>
  </si>
  <si>
    <t>James Robert Rodriguez</t>
  </si>
  <si>
    <t>USA</t>
  </si>
  <si>
    <t>Thomas Robert Brown</t>
  </si>
  <si>
    <t>Márcia Ana Oliveira</t>
  </si>
  <si>
    <t>Brazil</t>
  </si>
  <si>
    <t>Angela Angela Colombo</t>
  </si>
  <si>
    <t>Italy</t>
  </si>
  <si>
    <t>Mei Lanh Uang</t>
  </si>
  <si>
    <t>China</t>
  </si>
  <si>
    <t>Catherine Sylvie Durand</t>
  </si>
  <si>
    <t>France</t>
  </si>
  <si>
    <t>Marcos Antônio Gomes</t>
  </si>
  <si>
    <t>María Carmen Pérez</t>
  </si>
  <si>
    <t>Spain</t>
  </si>
  <si>
    <t>Luigi Vincenzo Colombo</t>
  </si>
  <si>
    <t>Carlos Marcos Oliveira</t>
  </si>
  <si>
    <t>Peter Wolfgang Fischer</t>
  </si>
  <si>
    <t>Peter Klaus Becker</t>
  </si>
  <si>
    <t>Fang Juan Wang</t>
  </si>
  <si>
    <t>Giuseppe Vincenzo Romano</t>
  </si>
  <si>
    <t>Michael Christopher Rodriguez</t>
  </si>
  <si>
    <t>Vincenzo Francesco Marino</t>
  </si>
  <si>
    <t>Klaus Michael Wagner</t>
  </si>
  <si>
    <t>Isabel Laura Pérez</t>
  </si>
  <si>
    <t>Thomas Robert Martinez</t>
  </si>
  <si>
    <t>Aline Aline Souza</t>
  </si>
  <si>
    <t>José Luis Rodríguez</t>
  </si>
  <si>
    <t>Osamu Hiroshi Suzuki</t>
  </si>
  <si>
    <t>Jin Yang Liu</t>
  </si>
  <si>
    <t>Michael Richard Smith</t>
  </si>
  <si>
    <t>Marcos José Gomes</t>
  </si>
  <si>
    <t>Keiko Michiko Ito</t>
  </si>
  <si>
    <t>Jing Ping Li</t>
  </si>
  <si>
    <t>Jessic Alinda Brown</t>
  </si>
  <si>
    <t>Monika Sabine Schneider</t>
  </si>
  <si>
    <t>Alain Nicolas Bernard</t>
  </si>
  <si>
    <t>Klaus Klaus Wagner</t>
  </si>
  <si>
    <t>Hans Wolfgang Weber</t>
  </si>
  <si>
    <t>Francesco Vincenzo Rossi</t>
  </si>
  <si>
    <t>Yoko Yoshiko Yamamoto</t>
  </si>
  <si>
    <t>David Richard Garcia</t>
  </si>
  <si>
    <t>Christophe Alain Laurent</t>
  </si>
  <si>
    <t>Michael John Martinez</t>
  </si>
  <si>
    <t>Maria Ursula Schulz</t>
  </si>
  <si>
    <t>José Luiz Silva</t>
  </si>
  <si>
    <t>Giovanni Giuseppe Marino</t>
  </si>
  <si>
    <t>Klaus Peter Schneider</t>
  </si>
  <si>
    <t>Yan Yan Zhag</t>
  </si>
  <si>
    <t/>
  </si>
  <si>
    <t>Christian Frank Schmidt</t>
  </si>
  <si>
    <t>Manuel Francisco Sánchez</t>
  </si>
  <si>
    <t>Keiko Yoko Nakamura</t>
  </si>
  <si>
    <t>Ju Nwei Liu</t>
  </si>
  <si>
    <t>Christian Frank Weber</t>
  </si>
  <si>
    <t>Petra Ursula Wagner</t>
  </si>
  <si>
    <t>Carmela Giovannar Icci</t>
  </si>
  <si>
    <t>Antônio João Alves</t>
  </si>
  <si>
    <t>Francisco Luiz Pereira</t>
  </si>
  <si>
    <t>Fernanda Maria Oliveira</t>
  </si>
  <si>
    <t>Ling Yan Li</t>
  </si>
  <si>
    <t>María Dolores López</t>
  </si>
  <si>
    <t>Giuseppina Giovanna Marino</t>
  </si>
  <si>
    <t>Takashi Akira Nakamura</t>
  </si>
  <si>
    <t>David Richard Martinez</t>
  </si>
  <si>
    <t>Christopher Richard Johnson</t>
  </si>
  <si>
    <t>Andreas Wolfgang Hoffmann</t>
  </si>
  <si>
    <t>Paulo Paulo Rodrigues</t>
  </si>
  <si>
    <t>Ursula Petra Schmidt</t>
  </si>
  <si>
    <t>Anna Rosa Greco</t>
  </si>
  <si>
    <t>Wililam Thomas Johnson</t>
  </si>
  <si>
    <t>Manuel José Sánchez</t>
  </si>
  <si>
    <t>Fernanda Ana Lima</t>
  </si>
  <si>
    <t>Catherine Martine Dubois</t>
  </si>
  <si>
    <t>Giuseppe Marior Usso</t>
  </si>
  <si>
    <t>María Dolores Garcia</t>
  </si>
  <si>
    <t>Laura Laura Sánchez</t>
  </si>
  <si>
    <t>René Nicolas Thomas</t>
  </si>
  <si>
    <t>Angelo Angelo Marino</t>
  </si>
  <si>
    <t>Lucia Caterina Russo</t>
  </si>
  <si>
    <t>Mary Mary Smith</t>
  </si>
  <si>
    <t>Fang Ling Liu</t>
  </si>
  <si>
    <t>Nathalie Monique Robert</t>
  </si>
  <si>
    <t>Rosa Giuseppina Rossi</t>
  </si>
  <si>
    <t>Yoshiko Tomoko Nakamura</t>
  </si>
  <si>
    <t>Antônio Marcos Silva</t>
  </si>
  <si>
    <t>Michiko Yoshiko Kobayashi</t>
  </si>
  <si>
    <t>Maria Teresa Ricci</t>
  </si>
  <si>
    <t>Ana María Sánchez</t>
  </si>
  <si>
    <t>Ángel Javier Martínez</t>
  </si>
  <si>
    <t>Louis André Petit</t>
  </si>
  <si>
    <t>Frank Frank Fischer</t>
  </si>
  <si>
    <t>Pierre Michel Durand</t>
  </si>
  <si>
    <t>Isabelle Nathalie Dubois</t>
  </si>
  <si>
    <t>Laura Maria Rodríguez</t>
  </si>
  <si>
    <t>Nicolas Philippe Robert</t>
  </si>
  <si>
    <t>Li Jing Wang</t>
  </si>
  <si>
    <t>Vincenzo Vincenzo Esposito</t>
  </si>
  <si>
    <t>Nathalie Monique Dubois</t>
  </si>
  <si>
    <t>Sarah Mary Garcia</t>
  </si>
  <si>
    <t>Yan Yan Huang</t>
  </si>
  <si>
    <t>Adriana Maria Rodrigues</t>
  </si>
  <si>
    <t>Javier David López</t>
  </si>
  <si>
    <t>Carmela Rosa Greco</t>
  </si>
  <si>
    <t>Ping Min Zhao</t>
  </si>
  <si>
    <t>Yan Fang Li</t>
  </si>
  <si>
    <t>David David Fernández</t>
  </si>
  <si>
    <t>Giuseppe Giuseppe Esposito</t>
  </si>
  <si>
    <t>José David Onzález</t>
  </si>
  <si>
    <t>Juan Manuel Rodríguez</t>
  </si>
  <si>
    <t>Sandrine Sylvie Moreau</t>
  </si>
  <si>
    <t>Fang Lan Wang</t>
  </si>
  <si>
    <t>Nathalie Sylvie Martin</t>
  </si>
  <si>
    <t>Rosa Maria Colombo</t>
  </si>
  <si>
    <t>Caterina Lucia Colombo</t>
  </si>
  <si>
    <t>Christophe Nicolas Richard</t>
  </si>
  <si>
    <t>Vincenzo Salvatore Russo</t>
  </si>
  <si>
    <t>Akira Satoshi Watanabe</t>
  </si>
  <si>
    <t>Joseph Thomas Millre</t>
  </si>
  <si>
    <t>Martine Isabelle Richard</t>
  </si>
  <si>
    <t>Luiz Luiz Oliveira</t>
  </si>
  <si>
    <t>Francisco José Fernández</t>
  </si>
  <si>
    <t>Wililam Wililam Garcia</t>
  </si>
  <si>
    <t>Lucia Angela Rossi</t>
  </si>
  <si>
    <t>Ursula Karin Schulz</t>
  </si>
  <si>
    <t>Osamu Hiroshi Tanaka</t>
  </si>
  <si>
    <t>Yuki Shinji Ito</t>
  </si>
  <si>
    <t>Wolfgang Andreas Weber</t>
  </si>
  <si>
    <t>Pietro Giovanni Esposito</t>
  </si>
  <si>
    <t>Teresa María Martínez</t>
  </si>
  <si>
    <t>Angela Carmela Greco</t>
  </si>
  <si>
    <t>Christian Klaus Fischer</t>
  </si>
  <si>
    <t>Lucas Luiz Gomes</t>
  </si>
  <si>
    <t>Pietro Angelo Russo</t>
  </si>
  <si>
    <t>José Antônio Lima</t>
  </si>
  <si>
    <t>Laura María López</t>
  </si>
  <si>
    <t>Michael Klaus Schmidt</t>
  </si>
  <si>
    <t>Hiroko Yoko Tanaka</t>
  </si>
  <si>
    <t>Min Lingz Hang</t>
  </si>
  <si>
    <t>Giovanna Carmela Romano</t>
  </si>
  <si>
    <t>Monique Sandrine Robert</t>
  </si>
  <si>
    <t>Gang Lei Zhou</t>
  </si>
  <si>
    <t>Antonio Antonio Gómez</t>
  </si>
  <si>
    <t>Marcos José Silva</t>
  </si>
  <si>
    <t>Jie Hao Yang</t>
  </si>
  <si>
    <t>Ping Fang Wu</t>
  </si>
  <si>
    <t>Mei Lan Wu</t>
  </si>
  <si>
    <t>Alain Jea Nthomas</t>
  </si>
  <si>
    <t>Sandrine Sandrine Durand</t>
  </si>
  <si>
    <t>María Carmen Gómez</t>
  </si>
  <si>
    <t>Michael Michael Schmidt</t>
  </si>
  <si>
    <t>Lucas Marcos Rodrigues</t>
  </si>
  <si>
    <t>Lan Fang Zhao</t>
  </si>
  <si>
    <t>Jennifer Susan Jones</t>
  </si>
  <si>
    <t>Ping Yan Yang</t>
  </si>
  <si>
    <t>Francesco Mario Ferrari</t>
  </si>
  <si>
    <t>Christopher Christopher Johnson</t>
  </si>
  <si>
    <t>Hans Wolfgang Becker</t>
  </si>
  <si>
    <t>Jessica Susan Jones</t>
  </si>
  <si>
    <t>Masako Hiroko Kobayashi</t>
  </si>
  <si>
    <t>Francisco Antônio Silva</t>
  </si>
  <si>
    <t>Danile Francisco Martin</t>
  </si>
  <si>
    <t>Isabelle Catherine Martin</t>
  </si>
  <si>
    <t>Michiko Yoshiko Yamamoto</t>
  </si>
  <si>
    <t>Jie Lei Li</t>
  </si>
  <si>
    <t>Juliana Aline Silva</t>
  </si>
  <si>
    <t>René Louis Dubois</t>
  </si>
  <si>
    <t>Aline Aline Santos</t>
  </si>
  <si>
    <t>Hiroko Michiko Ito</t>
  </si>
  <si>
    <t>Stefan Stefan Müller</t>
  </si>
  <si>
    <t>Fernanda Maria Lima</t>
  </si>
  <si>
    <t>Christian Frank Müller</t>
  </si>
  <si>
    <t>Yuki Hiroshi Watanabe</t>
  </si>
  <si>
    <t>Petra Ursula Fischer</t>
  </si>
  <si>
    <t>Robert John Garcia</t>
  </si>
  <si>
    <t>Mary Susan Jones</t>
  </si>
  <si>
    <t>Richard Joseph Williasm</t>
  </si>
  <si>
    <t>Francisco Francisco Martin</t>
  </si>
  <si>
    <t>Fang Jun Liu</t>
  </si>
  <si>
    <t>Aline Francisca Santos</t>
  </si>
  <si>
    <t>Salvatore Giovanni Rossi</t>
  </si>
  <si>
    <t>Monique Marie Thomas</t>
  </si>
  <si>
    <t>Antônia Antônia Oliveira</t>
  </si>
  <si>
    <t>Carmela Lucia Ferrari</t>
  </si>
  <si>
    <t>Juliana Antônia Ferreira</t>
  </si>
  <si>
    <t>Klaus Wolfgang Meyer</t>
  </si>
  <si>
    <t>Yan Ping Huang</t>
  </si>
  <si>
    <t>José Luis Fernández</t>
  </si>
  <si>
    <t>René Christophe Robert</t>
  </si>
  <si>
    <t>Lucia Angela Colombo</t>
  </si>
  <si>
    <t>Maria Sabine Weber</t>
  </si>
  <si>
    <t>Juliana Maria Ferreira</t>
  </si>
  <si>
    <t>Renate Maria Hoffmann</t>
  </si>
  <si>
    <t>Ana Antônia Gomes</t>
  </si>
  <si>
    <t>Hao Lei Li</t>
  </si>
  <si>
    <t>Kenji Toru Watanabe</t>
  </si>
  <si>
    <t>Françoise Martine Thomas</t>
  </si>
  <si>
    <t>Toru Yuki Kobayashi</t>
  </si>
  <si>
    <t>Andreas Peter Schneider</t>
  </si>
  <si>
    <t>Akiko Yoshiko Suzuki</t>
  </si>
  <si>
    <t>Yang Ju Nyang</t>
  </si>
  <si>
    <t>Angelo Pietro Bianchi</t>
  </si>
  <si>
    <t>Min Lan Wang</t>
  </si>
  <si>
    <t>Juliana Fernanda Silva</t>
  </si>
  <si>
    <t>Angelo Giuseppe Ricci</t>
  </si>
  <si>
    <t>Alain André Robert</t>
  </si>
  <si>
    <t>Maria Rosa Ferrari</t>
  </si>
  <si>
    <t>André René Richard</t>
  </si>
  <si>
    <t>Akira Kenji Kobayashi</t>
  </si>
  <si>
    <t>Joseph Thomas Martinez</t>
  </si>
  <si>
    <t>Isabel Teresa López</t>
  </si>
  <si>
    <t>Li Yan Chen</t>
  </si>
  <si>
    <t>Nicolas Jean Laurent</t>
  </si>
  <si>
    <t>Helga Sabine Meyer</t>
  </si>
  <si>
    <t>Rosa Teresa Ricci</t>
  </si>
  <si>
    <t>Min Min Wu</t>
  </si>
  <si>
    <t>Yang Qiang Zhao</t>
  </si>
  <si>
    <t>Hiroshi Satoshi Tanaka</t>
  </si>
  <si>
    <t>Thomas Thomas Schneider</t>
  </si>
  <si>
    <t>Nathalie Sandrine Moreau</t>
  </si>
  <si>
    <t>Hans Hans Wagner</t>
  </si>
  <si>
    <t>Sarah Mary Millre</t>
  </si>
  <si>
    <t>Josefa Pilar Pérez</t>
  </si>
  <si>
    <t>Márcia Juliana Pereira</t>
  </si>
  <si>
    <t>Marcos Antônio Oliveira</t>
  </si>
  <si>
    <t>Masako Yoko Ito</t>
  </si>
  <si>
    <t>Wolfgang Michael Hoffmann</t>
  </si>
  <si>
    <t>Nathalie Françoise Robert</t>
  </si>
  <si>
    <t>Francisca Adriana Lima</t>
  </si>
  <si>
    <t>Angela Carmela Bianchi</t>
  </si>
  <si>
    <t>Fang Min Li</t>
  </si>
  <si>
    <t>Patrícia Aline Ferreira</t>
  </si>
  <si>
    <t>Angela Maria Romano</t>
  </si>
  <si>
    <t>Alain Christophe Petit</t>
  </si>
  <si>
    <t>Barbara Jessica Rodriguez</t>
  </si>
  <si>
    <t>José Antonio Gómez</t>
  </si>
  <si>
    <t>Hao Qiang Zhao</t>
  </si>
  <si>
    <t>Tomoko Tomoko Kato</t>
  </si>
  <si>
    <t>Linda Jessica Brown</t>
  </si>
  <si>
    <t>Sandrin Emonique Moreau</t>
  </si>
  <si>
    <t>Naoko Michiko Nakamura</t>
  </si>
  <si>
    <t>Maria Antônia Gomes</t>
  </si>
  <si>
    <t>Patrícia Adriana Alves</t>
  </si>
  <si>
    <t>Sandrine Monique Laurent</t>
  </si>
  <si>
    <t>Nicolas Michel Thomas</t>
  </si>
  <si>
    <t>Andreas Klaus Becker</t>
  </si>
  <si>
    <t>Stefan Stefan Meyer</t>
  </si>
  <si>
    <t>Linda Sarah Brown</t>
  </si>
  <si>
    <t>Lucas Paulo Lima</t>
  </si>
  <si>
    <t>André René Moreau</t>
  </si>
  <si>
    <t>Sachiko Tomoko Sato</t>
  </si>
  <si>
    <t>Lan Mei Li</t>
  </si>
  <si>
    <t>Isabel Teresa Rodríguez</t>
  </si>
  <si>
    <t>Sylvie Françoise Robert</t>
  </si>
  <si>
    <t>wolfgang frank fischer</t>
  </si>
  <si>
    <t>M</t>
  </si>
  <si>
    <t>Engineering</t>
  </si>
  <si>
    <t>$1944778.73</t>
  </si>
  <si>
    <t>04/18/2020</t>
  </si>
  <si>
    <t>S3chIKO YSOHIkO YAMaMoTO</t>
  </si>
  <si>
    <t>F</t>
  </si>
  <si>
    <t>Business Development</t>
  </si>
  <si>
    <t>$4034920.53</t>
  </si>
  <si>
    <t>01/20/2015</t>
  </si>
  <si>
    <t>yuki  hiroshi  yamamoto</t>
  </si>
  <si>
    <t>Accounting</t>
  </si>
  <si>
    <t>$4448553.53</t>
  </si>
  <si>
    <t>01/16/2012</t>
  </si>
  <si>
    <t>james robert rodriguez</t>
  </si>
  <si>
    <t>$3703534.33</t>
  </si>
  <si>
    <t>03/21/2015</t>
  </si>
  <si>
    <t>tH$MAS RobeRT brOWN</t>
  </si>
  <si>
    <t>Services</t>
  </si>
  <si>
    <t>$2211818.29</t>
  </si>
  <si>
    <t>02/25/2021</t>
  </si>
  <si>
    <t>márcia ana olivei&amp;a</t>
  </si>
  <si>
    <t>$4020821.87</t>
  </si>
  <si>
    <t>03/24/2012</t>
  </si>
  <si>
    <t>angela angela colombo</t>
  </si>
  <si>
    <t>Legal</t>
  </si>
  <si>
    <t>$4088847.65</t>
  </si>
  <si>
    <t>2015-12-07 00:00:00</t>
  </si>
  <si>
    <t>mei lanh uang</t>
  </si>
  <si>
    <t>$3335383.26</t>
  </si>
  <si>
    <t>2014-07-04 00:00:00</t>
  </si>
  <si>
    <t>catherine sylvie durand</t>
  </si>
  <si>
    <t>Training</t>
  </si>
  <si>
    <t>$3206328.21</t>
  </si>
  <si>
    <t>10/15/2020</t>
  </si>
  <si>
    <t>MARCOS ANTÔNIO GOMES</t>
  </si>
  <si>
    <t>Product Management</t>
  </si>
  <si>
    <t>$2939854.34</t>
  </si>
  <si>
    <t>2015-04-08 00:00:00</t>
  </si>
  <si>
    <t>mARíA CArmen1ACrMEN PéRez</t>
  </si>
  <si>
    <t>$2686327.77</t>
  </si>
  <si>
    <t>07/31/2015</t>
  </si>
  <si>
    <t>LUIGI VINCENZO COLOMBO</t>
  </si>
  <si>
    <t>Marketing</t>
  </si>
  <si>
    <t>$5000802.77</t>
  </si>
  <si>
    <t>07/27/2018</t>
  </si>
  <si>
    <t>carlos marcos oliveira</t>
  </si>
  <si>
    <t>Support</t>
  </si>
  <si>
    <t>$2146329.48</t>
  </si>
  <si>
    <t>2013-11-01 00:00:00</t>
  </si>
  <si>
    <t>Brasil</t>
  </si>
  <si>
    <t>peter wolfgang fischer</t>
  </si>
  <si>
    <t>germany</t>
  </si>
  <si>
    <t>peter klaus becker</t>
  </si>
  <si>
    <t>2018-02-12 00:00:00</t>
  </si>
  <si>
    <t>fang juan wang</t>
  </si>
  <si>
    <t>$4107502.35</t>
  </si>
  <si>
    <t>10/16/2015</t>
  </si>
  <si>
    <t>GIUSEPPE VINCENZO ROMANO</t>
  </si>
  <si>
    <t>$4742467.27</t>
  </si>
  <si>
    <t>12/15/2013</t>
  </si>
  <si>
    <t>michael christopher rodriguez</t>
  </si>
  <si>
    <t>$2808107.37</t>
  </si>
  <si>
    <t>2016-08-09 00:00:00</t>
  </si>
  <si>
    <t>vincenzo francesco marino</t>
  </si>
  <si>
    <t>$2651870.70</t>
  </si>
  <si>
    <t>01/16/2022</t>
  </si>
  <si>
    <t>Italia</t>
  </si>
  <si>
    <t>klaus michael wagner</t>
  </si>
  <si>
    <t>$4065740.81</t>
  </si>
  <si>
    <t>10/28/2013</t>
  </si>
  <si>
    <t>Germany?</t>
  </si>
  <si>
    <t>isabel laura pérez</t>
  </si>
  <si>
    <t>$5046175.34</t>
  </si>
  <si>
    <t>07/15/2020</t>
  </si>
  <si>
    <t>Spian</t>
  </si>
  <si>
    <t>thomas  robert  martinez</t>
  </si>
  <si>
    <t>$2529947.11</t>
  </si>
  <si>
    <t>05/20/2019</t>
  </si>
  <si>
    <t>alInE AlIne soUza</t>
  </si>
  <si>
    <t>$2522226.35</t>
  </si>
  <si>
    <t>09/29/2019</t>
  </si>
  <si>
    <t>josé luis josé luis rodríguez</t>
  </si>
  <si>
    <t>$3438005.06</t>
  </si>
  <si>
    <t>2020-10-06 00:00:00</t>
  </si>
  <si>
    <t>6samu hiroshi suzuki</t>
  </si>
  <si>
    <t>$4840506.88</t>
  </si>
  <si>
    <t>2018-11-01 00:00:00</t>
  </si>
  <si>
    <t>jin gyan liu</t>
  </si>
  <si>
    <t>Human Resources</t>
  </si>
  <si>
    <t>$2828591.95</t>
  </si>
  <si>
    <t>09/17/2018</t>
  </si>
  <si>
    <t>china</t>
  </si>
  <si>
    <t>michael richard smith</t>
  </si>
  <si>
    <t>$4784169.37</t>
  </si>
  <si>
    <t>10/27/2020</t>
  </si>
  <si>
    <t>marcOS JosÉ GoMES</t>
  </si>
  <si>
    <t>keiko  michiko  ito</t>
  </si>
  <si>
    <t>$3370868.02</t>
  </si>
  <si>
    <t>08/26/2015</t>
  </si>
  <si>
    <t>jing  ping  li</t>
  </si>
  <si>
    <t>Research and Development</t>
  </si>
  <si>
    <t>$3521147.58</t>
  </si>
  <si>
    <t>08/20/2021</t>
  </si>
  <si>
    <t>jessic alinda brown</t>
  </si>
  <si>
    <t>$1849120.99</t>
  </si>
  <si>
    <t>08/23/2018</t>
  </si>
  <si>
    <t xml:space="preserve">USA   </t>
  </si>
  <si>
    <t>monika sabine schneider</t>
  </si>
  <si>
    <t>laain nicolas bernard</t>
  </si>
  <si>
    <t>$3408155.28</t>
  </si>
  <si>
    <t>09/27/2015</t>
  </si>
  <si>
    <t>Fracne</t>
  </si>
  <si>
    <t>klaus klaus wagner</t>
  </si>
  <si>
    <t>hans wolfgang weber</t>
  </si>
  <si>
    <t>$3716559.55</t>
  </si>
  <si>
    <t>2016-03-02 00:00:00</t>
  </si>
  <si>
    <t>frAnceScO viNCenzO rOsSI</t>
  </si>
  <si>
    <t>$2749593.05</t>
  </si>
  <si>
    <t>08/23/2020</t>
  </si>
  <si>
    <t>yoko yoshiko yamamoto</t>
  </si>
  <si>
    <t>$2160915.31</t>
  </si>
  <si>
    <t>12/31/2019</t>
  </si>
  <si>
    <t>david  richard  garcia</t>
  </si>
  <si>
    <t>$1856124.46</t>
  </si>
  <si>
    <t>2017-09-12 00:00:00</t>
  </si>
  <si>
    <t>christophe alain laurent</t>
  </si>
  <si>
    <t>$3425774.28</t>
  </si>
  <si>
    <t>2019-01-08 00:00:00</t>
  </si>
  <si>
    <t>michael john martinez</t>
  </si>
  <si>
    <t>$3323893.92</t>
  </si>
  <si>
    <t>2018-07-11 00:00:00</t>
  </si>
  <si>
    <t>maria ursula schulz</t>
  </si>
  <si>
    <t>$2118243.19</t>
  </si>
  <si>
    <t>09/29/2011</t>
  </si>
  <si>
    <t>josé luiz silva</t>
  </si>
  <si>
    <t>$3401568.66</t>
  </si>
  <si>
    <t>2011-10-02 00:00:00</t>
  </si>
  <si>
    <t>giovanni giuseppe marino</t>
  </si>
  <si>
    <t>$3510688.25</t>
  </si>
  <si>
    <t>2012-06-04 00:00:00</t>
  </si>
  <si>
    <t>klaus peter schnieder</t>
  </si>
  <si>
    <t>$4240644.07</t>
  </si>
  <si>
    <t>2011-08-07 00:00:00</t>
  </si>
  <si>
    <t>yan  yan  zha9g</t>
  </si>
  <si>
    <t>$3298104.81</t>
  </si>
  <si>
    <t>09/24/2020</t>
  </si>
  <si>
    <t>christian frank schmidt</t>
  </si>
  <si>
    <t>$3573985.37</t>
  </si>
  <si>
    <t>11/30/2015</t>
  </si>
  <si>
    <t>manuel francisco sánchez</t>
  </si>
  <si>
    <t>$5035442.35</t>
  </si>
  <si>
    <t>2013-10-05 00:00:00</t>
  </si>
  <si>
    <t>keiko  yoko  nakamura</t>
  </si>
  <si>
    <t>$4815552.02</t>
  </si>
  <si>
    <t>11/29/2021</t>
  </si>
  <si>
    <t>ju nwei liu</t>
  </si>
  <si>
    <t>$5091098.52</t>
  </si>
  <si>
    <t>03/24/2017</t>
  </si>
  <si>
    <t>CHRISTIAN FRANK WEBER</t>
  </si>
  <si>
    <t>$2564885.71</t>
  </si>
  <si>
    <t>2019-06-09 00:00:00</t>
  </si>
  <si>
    <t>petra ursula wagner</t>
  </si>
  <si>
    <t>$5018242.11</t>
  </si>
  <si>
    <t>12/30/2018</t>
  </si>
  <si>
    <t>cArMelA GIOvannAR ICcI</t>
  </si>
  <si>
    <t>$5165921.39</t>
  </si>
  <si>
    <t>2016-08-03 00:00:00</t>
  </si>
  <si>
    <t>antônio joão alves</t>
  </si>
  <si>
    <t>$1981906.19</t>
  </si>
  <si>
    <t>2013-04-07 00:00:00</t>
  </si>
  <si>
    <t>fRANCISCo LuIz pEReiRA</t>
  </si>
  <si>
    <t>$4150662.90</t>
  </si>
  <si>
    <t>01/24/2014</t>
  </si>
  <si>
    <t>fernanda maria oliveira</t>
  </si>
  <si>
    <t>$2776175.25</t>
  </si>
  <si>
    <t>05/16/2016</t>
  </si>
  <si>
    <t>ling yan li</t>
  </si>
  <si>
    <t>$2083385.54</t>
  </si>
  <si>
    <t>2015-03-08 00:00:00</t>
  </si>
  <si>
    <t>maría dolores maría dolores lópez</t>
  </si>
  <si>
    <t>$4889972.64</t>
  </si>
  <si>
    <t>2017-03-02 00:00:00</t>
  </si>
  <si>
    <t>giuseppina giovanna marino</t>
  </si>
  <si>
    <t>$2611498.95</t>
  </si>
  <si>
    <t>2017-03-08 00:00:00</t>
  </si>
  <si>
    <t>takashi  akira  nakamura</t>
  </si>
  <si>
    <t>$2421244.24</t>
  </si>
  <si>
    <t>2020-06-04 00:00:00</t>
  </si>
  <si>
    <t>david  richard  martinez</t>
  </si>
  <si>
    <t>$4968507.26</t>
  </si>
  <si>
    <t>12/13/2019</t>
  </si>
  <si>
    <t>christopher  richard&amp;johnson</t>
  </si>
  <si>
    <t>$4958393.44</t>
  </si>
  <si>
    <t>2022-12-06 00:00:00</t>
  </si>
  <si>
    <t>usa</t>
  </si>
  <si>
    <t>adnreas wolfgang hoffmann</t>
  </si>
  <si>
    <t>$3601189.19</t>
  </si>
  <si>
    <t>2018-01-08 00:00:00</t>
  </si>
  <si>
    <t>paulo paluo rodrigues</t>
  </si>
  <si>
    <t>$2104995.17</t>
  </si>
  <si>
    <t>2020-10-01 00:00:00</t>
  </si>
  <si>
    <t>ursula petra schmidt</t>
  </si>
  <si>
    <t>$2761135.87</t>
  </si>
  <si>
    <t>05/29/2015</t>
  </si>
  <si>
    <t>anna rosa greco</t>
  </si>
  <si>
    <t>$3631644.90</t>
  </si>
  <si>
    <t>04/23/2015</t>
  </si>
  <si>
    <t>wililam thomas johnson</t>
  </si>
  <si>
    <t>$2453295.02</t>
  </si>
  <si>
    <t>01/29/2012</t>
  </si>
  <si>
    <t>manuel  josé  sánchez</t>
  </si>
  <si>
    <t>$2336074.87</t>
  </si>
  <si>
    <t>05/23/2018</t>
  </si>
  <si>
    <t>fernanda ana lima</t>
  </si>
  <si>
    <t>$4656019.73</t>
  </si>
  <si>
    <t>2017-02-07 00:00:00</t>
  </si>
  <si>
    <t>CATHERINE MARTINE DUBOIS</t>
  </si>
  <si>
    <t>$3499965.76</t>
  </si>
  <si>
    <t>2015-11-08 00:00:00</t>
  </si>
  <si>
    <t>giuseppe marior usso</t>
  </si>
  <si>
    <t>$3538087.02</t>
  </si>
  <si>
    <t>05/14/2014</t>
  </si>
  <si>
    <t>marÍa DoLorEs TEresa garC1A</t>
  </si>
  <si>
    <t>2020-04-11 00:00:00</t>
  </si>
  <si>
    <t>SPAIN</t>
  </si>
  <si>
    <t>laura laura sánc*ez</t>
  </si>
  <si>
    <t>rené NicOlAs tHOmaS</t>
  </si>
  <si>
    <t>$4013987.92</t>
  </si>
  <si>
    <t>2019-06-03 00:00:00</t>
  </si>
  <si>
    <t>ANGElO AngElo mAriNO</t>
  </si>
  <si>
    <t>lucia caterina russo</t>
  </si>
  <si>
    <t>$2607996.32</t>
  </si>
  <si>
    <t>03/27/2012</t>
  </si>
  <si>
    <t>mary mary smith</t>
  </si>
  <si>
    <t>$4027673.44</t>
  </si>
  <si>
    <t>2021-08-09 00:00:00</t>
  </si>
  <si>
    <t>fang ling liu</t>
  </si>
  <si>
    <t>$4512765.18</t>
  </si>
  <si>
    <t>2021-09-07 00:00:00</t>
  </si>
  <si>
    <t>NAthalie  moNIquE  RoBeRt</t>
  </si>
  <si>
    <t>$4359972.20</t>
  </si>
  <si>
    <t>08/19/2017</t>
  </si>
  <si>
    <t>rosa giuseppina rossi</t>
  </si>
  <si>
    <t>$3880520.78</t>
  </si>
  <si>
    <t>2021-10-03 00:00:00</t>
  </si>
  <si>
    <t>yOShIko ToMoKO nAKAm8RA</t>
  </si>
  <si>
    <t>anôtnio marcos silva</t>
  </si>
  <si>
    <t>$3227260.16</t>
  </si>
  <si>
    <t>2018-05-11 00:00:00</t>
  </si>
  <si>
    <t>BRAZIL</t>
  </si>
  <si>
    <t>michiko yoshiko kobayashi</t>
  </si>
  <si>
    <t>$4884611.30</t>
  </si>
  <si>
    <t>03/18/2014</t>
  </si>
  <si>
    <t>maria teresa ricci</t>
  </si>
  <si>
    <t>$3651953.72</t>
  </si>
  <si>
    <t>2011-05-07 00:00:00</t>
  </si>
  <si>
    <t>Italy?</t>
  </si>
  <si>
    <t>ana maría carmen sánchez</t>
  </si>
  <si>
    <t>Sales</t>
  </si>
  <si>
    <t>$1938320.11</t>
  </si>
  <si>
    <t>2011-10-05 00:00:00</t>
  </si>
  <si>
    <t>ángel  javier  #artínez</t>
  </si>
  <si>
    <t>$2124789.86</t>
  </si>
  <si>
    <t>2021-11-05 00:00:00</t>
  </si>
  <si>
    <t>louis andré petit</t>
  </si>
  <si>
    <t>$3739272.43</t>
  </si>
  <si>
    <t>02/24/2019</t>
  </si>
  <si>
    <t>france</t>
  </si>
  <si>
    <t>fRaNk Frank fIschER</t>
  </si>
  <si>
    <t>2021-06-01 00:00:00</t>
  </si>
  <si>
    <t>pierre michel durand</t>
  </si>
  <si>
    <t>$3606952.08</t>
  </si>
  <si>
    <t>08/26/2021</t>
  </si>
  <si>
    <t>isabelle  nathalie  dubois</t>
  </si>
  <si>
    <t>$3057032.59</t>
  </si>
  <si>
    <t>2014-05-02 00:00:00</t>
  </si>
  <si>
    <t>laUra MAr6a CARMEN roDrÍgUeZ</t>
  </si>
  <si>
    <t>$1961952.63</t>
  </si>
  <si>
    <t>09/23/2021</t>
  </si>
  <si>
    <t>nicolas  philippe  robert</t>
  </si>
  <si>
    <t>$3842439.81</t>
  </si>
  <si>
    <t>2021-08-02 00:00:00</t>
  </si>
  <si>
    <t>FRA</t>
  </si>
  <si>
    <t>li jing wa!g</t>
  </si>
  <si>
    <t xml:space="preserve">   Sales</t>
  </si>
  <si>
    <t>$2644727.30</t>
  </si>
  <si>
    <t>08/16/2012</t>
  </si>
  <si>
    <t>vincenzo  vincenz#  esposito</t>
  </si>
  <si>
    <t>$4602728.46</t>
  </si>
  <si>
    <t>02/23/2012</t>
  </si>
  <si>
    <t>na9Halie moNiqUe DuBoIs</t>
  </si>
  <si>
    <t>$3135106.52</t>
  </si>
  <si>
    <t>08/19/2012</t>
  </si>
  <si>
    <t>sarah mary&amp;agrcia</t>
  </si>
  <si>
    <t>$2046006.62</t>
  </si>
  <si>
    <t>09/25/2015</t>
  </si>
  <si>
    <t>yan*yan huang</t>
  </si>
  <si>
    <t>$2277588.28</t>
  </si>
  <si>
    <t>12/28/2014</t>
  </si>
  <si>
    <t>Chian</t>
  </si>
  <si>
    <t>adriana  maria  rodrigues</t>
  </si>
  <si>
    <t>$1805190.75</t>
  </si>
  <si>
    <t>01/19/2021</t>
  </si>
  <si>
    <t>JAVIER DAVID LÓPEZ</t>
  </si>
  <si>
    <t>$3431157.60</t>
  </si>
  <si>
    <t>09/28/2022</t>
  </si>
  <si>
    <t>carmela rosa greco</t>
  </si>
  <si>
    <t>$3142122.03</t>
  </si>
  <si>
    <t>2020-10-10 00:00:00</t>
  </si>
  <si>
    <t>IT</t>
  </si>
  <si>
    <t>ping min zhao</t>
  </si>
  <si>
    <t>$4974530.99</t>
  </si>
  <si>
    <t>06/24/2014</t>
  </si>
  <si>
    <t>yan fang li</t>
  </si>
  <si>
    <t>$4331429.46</t>
  </si>
  <si>
    <t>11/23/2019</t>
  </si>
  <si>
    <t>david1david  fernández</t>
  </si>
  <si>
    <t>$2375030.51</t>
  </si>
  <si>
    <t>2021-11-10 00:00:00</t>
  </si>
  <si>
    <t xml:space="preserve"> Spain </t>
  </si>
  <si>
    <t>giuseppe  giuseppe  esposito</t>
  </si>
  <si>
    <t>$4106273.07</t>
  </si>
  <si>
    <t>2015-10-04 00:00:00</t>
  </si>
  <si>
    <t>italy</t>
  </si>
  <si>
    <t>josé  david  0onzález</t>
  </si>
  <si>
    <t>$3727382.74</t>
  </si>
  <si>
    <t>2013-07-12 00:00:00</t>
  </si>
  <si>
    <t>juan ma9uel rodríguez</t>
  </si>
  <si>
    <t>$4900273.46</t>
  </si>
  <si>
    <t>2011-07-12 00:00:00</t>
  </si>
  <si>
    <t>sandrine  sylvie  moreau</t>
  </si>
  <si>
    <t>$1990535.20</t>
  </si>
  <si>
    <t>2016-08-02 00:00:00</t>
  </si>
  <si>
    <t>fang lan wang</t>
  </si>
  <si>
    <t>$1835283.34</t>
  </si>
  <si>
    <t>10/25/2015</t>
  </si>
  <si>
    <t>nathalie sylvie martin</t>
  </si>
  <si>
    <t>$1917020.95</t>
  </si>
  <si>
    <t>2020-08-11 00:00:00</t>
  </si>
  <si>
    <t>rosa maria colombo</t>
  </si>
  <si>
    <t xml:space="preserve">    Services</t>
  </si>
  <si>
    <t>$4384792.69</t>
  </si>
  <si>
    <t>11/17/2017</t>
  </si>
  <si>
    <t>ITALY</t>
  </si>
  <si>
    <t>CatERina LUcia cOLOMBo</t>
  </si>
  <si>
    <t>$4277858.65</t>
  </si>
  <si>
    <t>2012-03-05 00:00:00</t>
  </si>
  <si>
    <t>christophe nicolas richard</t>
  </si>
  <si>
    <t>$2602113.96</t>
  </si>
  <si>
    <t>2021-07-10 00:00:00</t>
  </si>
  <si>
    <t>vincenzo salvatore russo</t>
  </si>
  <si>
    <t>$3862584.16</t>
  </si>
  <si>
    <t>02/25/2022</t>
  </si>
  <si>
    <t>akira satoshi watanabe</t>
  </si>
  <si>
    <t>$2107328.52</t>
  </si>
  <si>
    <t>02/15/2021</t>
  </si>
  <si>
    <t>JOSEPH THOMAS MILLRE</t>
  </si>
  <si>
    <t>$1864906.90</t>
  </si>
  <si>
    <t>MARTINE ISABELLE RICHARD</t>
  </si>
  <si>
    <t>$3379571.19</t>
  </si>
  <si>
    <t>11/26/2013</t>
  </si>
  <si>
    <t>luiz luiz o1iveira</t>
  </si>
  <si>
    <t>$1979430.96</t>
  </si>
  <si>
    <t>2014-08-10 00:00:00</t>
  </si>
  <si>
    <t>fraNcisco #osé LuIs fERnÁndez</t>
  </si>
  <si>
    <t>$5118039.66</t>
  </si>
  <si>
    <t>09/16/2014</t>
  </si>
  <si>
    <t>spain</t>
  </si>
  <si>
    <t>william wliliam garcia</t>
  </si>
  <si>
    <t>$4942157.79</t>
  </si>
  <si>
    <t>04/17/2020</t>
  </si>
  <si>
    <t>lucia angela rossi</t>
  </si>
  <si>
    <t>$3852427.65</t>
  </si>
  <si>
    <t>07/24/2011</t>
  </si>
  <si>
    <t>ursula karin schulz</t>
  </si>
  <si>
    <t>$3442164.94</t>
  </si>
  <si>
    <t>10/23/2020</t>
  </si>
  <si>
    <t>osamu hiroshi tanaka</t>
  </si>
  <si>
    <t>$2892121.22</t>
  </si>
  <si>
    <t>10/16/2021</t>
  </si>
  <si>
    <t>yuki  shinji  ito</t>
  </si>
  <si>
    <t>$5131325.93</t>
  </si>
  <si>
    <t>2013-10-02 00:00:00</t>
  </si>
  <si>
    <t>wolfgang andreas weber</t>
  </si>
  <si>
    <t>$4601325.64</t>
  </si>
  <si>
    <t>04/13/2016</t>
  </si>
  <si>
    <t>pietro giovanni esposito</t>
  </si>
  <si>
    <t>$2243850.78</t>
  </si>
  <si>
    <t>02/13/2016</t>
  </si>
  <si>
    <t>teresa maría c5rmen martínez</t>
  </si>
  <si>
    <t>$2458360.48</t>
  </si>
  <si>
    <t>06/29/2013</t>
  </si>
  <si>
    <t xml:space="preserve">Spain   </t>
  </si>
  <si>
    <t>AN%ELA  CARMELA  GRECO</t>
  </si>
  <si>
    <t>$3288307.40</t>
  </si>
  <si>
    <t>2014-07-12 00:00:00</t>
  </si>
  <si>
    <t>hcristian klaus fischer</t>
  </si>
  <si>
    <t>03/31/2016</t>
  </si>
  <si>
    <t>lucas luiz gomes</t>
  </si>
  <si>
    <t>$3679339.46</t>
  </si>
  <si>
    <t>pietro angelo russo</t>
  </si>
  <si>
    <t>$3237260.43</t>
  </si>
  <si>
    <t>07/22/2022</t>
  </si>
  <si>
    <t>JOSÉ  ANTÔNIO L IMA</t>
  </si>
  <si>
    <t>$3339972.13</t>
  </si>
  <si>
    <t>2016-03-12 00:00:00</t>
  </si>
  <si>
    <t>laura maría lópez</t>
  </si>
  <si>
    <t>$3901853.71</t>
  </si>
  <si>
    <t>2020-03-02 00:00:00</t>
  </si>
  <si>
    <t>michael  klaus  schmidt</t>
  </si>
  <si>
    <t>$4562932.43</t>
  </si>
  <si>
    <t>08/20/2020</t>
  </si>
  <si>
    <t>hiroko yoko tanaka</t>
  </si>
  <si>
    <t>$4017712.48</t>
  </si>
  <si>
    <t>10/23/2022</t>
  </si>
  <si>
    <t>MIN LINGZ HANG</t>
  </si>
  <si>
    <t>giovanna carmela romano</t>
  </si>
  <si>
    <t>$4997170.65</t>
  </si>
  <si>
    <t>08/13/2018</t>
  </si>
  <si>
    <t>monique  sandrine  robert</t>
  </si>
  <si>
    <t>$3401350.74</t>
  </si>
  <si>
    <t>09/21/2011</t>
  </si>
  <si>
    <t>gang lei1zhou</t>
  </si>
  <si>
    <t>$3769458.55</t>
  </si>
  <si>
    <t>03/29/2011</t>
  </si>
  <si>
    <t>ANToNio  ATnONio  gÓMez</t>
  </si>
  <si>
    <t>$2829761.90</t>
  </si>
  <si>
    <t>11/15/2020</t>
  </si>
  <si>
    <t>marcos josé silva</t>
  </si>
  <si>
    <t>$2214753.88</t>
  </si>
  <si>
    <t>2017-03-04 00:00:00</t>
  </si>
  <si>
    <t>jie hao yang</t>
  </si>
  <si>
    <t>$5042117.07</t>
  </si>
  <si>
    <t>02/28/2013</t>
  </si>
  <si>
    <t>ping fang wu</t>
  </si>
  <si>
    <t>$3162287.75</t>
  </si>
  <si>
    <t>2014-05-09 00:00:00</t>
  </si>
  <si>
    <t>mie  lan  wu</t>
  </si>
  <si>
    <t>$1963334.76</t>
  </si>
  <si>
    <t>2013-08-04 00:00:00</t>
  </si>
  <si>
    <t>alain&amp;jea nthomas</t>
  </si>
  <si>
    <t>$2919030.69</t>
  </si>
  <si>
    <t>2019-09-08 00:00:00</t>
  </si>
  <si>
    <t>France?</t>
  </si>
  <si>
    <t>sandrine sandrine durand</t>
  </si>
  <si>
    <t>$2218584.92</t>
  </si>
  <si>
    <t>2022-02-07 00:00:00</t>
  </si>
  <si>
    <t>maría maría ca*men gómez</t>
  </si>
  <si>
    <t>$2651769.39</t>
  </si>
  <si>
    <t>09/23/2020</t>
  </si>
  <si>
    <t>michael michael schmidt</t>
  </si>
  <si>
    <t>$4970178.96</t>
  </si>
  <si>
    <t>11/17/2015</t>
  </si>
  <si>
    <t>lucas  marcos  rodrigues</t>
  </si>
  <si>
    <t>lan fang&amp;zhao</t>
  </si>
  <si>
    <t>$4543116.92</t>
  </si>
  <si>
    <t>2016-07-05 00:00:00</t>
  </si>
  <si>
    <t>jennifer susan jones</t>
  </si>
  <si>
    <t>$3050752.13</t>
  </si>
  <si>
    <t>2015-08-11 00:00:00</t>
  </si>
  <si>
    <t>USA?</t>
  </si>
  <si>
    <t>ping yan yagn</t>
  </si>
  <si>
    <t>francesco mario ferrari</t>
  </si>
  <si>
    <t>$4836004.62</t>
  </si>
  <si>
    <t>09/21/2016</t>
  </si>
  <si>
    <t xml:space="preserve">Italy   </t>
  </si>
  <si>
    <t>christopher christopher johnson</t>
  </si>
  <si>
    <t>$2805358.92</t>
  </si>
  <si>
    <t>02/14/2016</t>
  </si>
  <si>
    <t>HANS WOLFGAGN B@CKER</t>
  </si>
  <si>
    <t>$3020849.46</t>
  </si>
  <si>
    <t>05/18/2019</t>
  </si>
  <si>
    <t>jeSsIca sUSan JoNes</t>
  </si>
  <si>
    <t>$4522126.22</t>
  </si>
  <si>
    <t>04/29/2021</t>
  </si>
  <si>
    <t>MASAKO HIROKO KOBAYASHI</t>
  </si>
  <si>
    <t>$4264990.88</t>
  </si>
  <si>
    <t>2014-11-11 00:00:00</t>
  </si>
  <si>
    <t>FRaNcisCo anTÔnio silvA</t>
  </si>
  <si>
    <t>$3528990.30</t>
  </si>
  <si>
    <t>04/28/2016</t>
  </si>
  <si>
    <t>danile francisco martin</t>
  </si>
  <si>
    <t>$4665179.15</t>
  </si>
  <si>
    <t>04/24/2022</t>
  </si>
  <si>
    <t>isabelle catherine martin</t>
  </si>
  <si>
    <t>$4579858.37</t>
  </si>
  <si>
    <t>05/25/2016</t>
  </si>
  <si>
    <t>miCHI%o YosHiKo YamAmOTO</t>
  </si>
  <si>
    <t>$4896967.41</t>
  </si>
  <si>
    <t>2015-05-03 00:00:00</t>
  </si>
  <si>
    <t>jie lei li</t>
  </si>
  <si>
    <t>$2952956.08</t>
  </si>
  <si>
    <t>04/19/2015</t>
  </si>
  <si>
    <t>juliaan aline silva</t>
  </si>
  <si>
    <t>$3257776.45</t>
  </si>
  <si>
    <t>2011-02-08 00:00:00</t>
  </si>
  <si>
    <t>rené  louis  dubois</t>
  </si>
  <si>
    <t>$4497285.51</t>
  </si>
  <si>
    <t>03/15/2016</t>
  </si>
  <si>
    <t>ALINE ALINE SANTOS</t>
  </si>
  <si>
    <t>$1803190.83</t>
  </si>
  <si>
    <t>08/16/2020</t>
  </si>
  <si>
    <t>hiroko michiko ito</t>
  </si>
  <si>
    <t>stefan  stefan  müller</t>
  </si>
  <si>
    <t>$3788769.91</t>
  </si>
  <si>
    <t>02/22/2019</t>
  </si>
  <si>
    <t>fernanda maria lima</t>
  </si>
  <si>
    <t>$5123510.78</t>
  </si>
  <si>
    <t>06/28/2011</t>
  </si>
  <si>
    <t>christian  frank  müller</t>
  </si>
  <si>
    <t>$2856686.61</t>
  </si>
  <si>
    <t>2011-03-06 00:00:00</t>
  </si>
  <si>
    <t>Yuki  hIrsOHI  WATAnaBe</t>
  </si>
  <si>
    <t>$4408836.33</t>
  </si>
  <si>
    <t>10/13/2012</t>
  </si>
  <si>
    <t>JPN</t>
  </si>
  <si>
    <t>petra  ursula  fischer</t>
  </si>
  <si>
    <t>$3648801.84</t>
  </si>
  <si>
    <t>04/18/2018</t>
  </si>
  <si>
    <t>robert john garcia</t>
  </si>
  <si>
    <t>$2917255.88</t>
  </si>
  <si>
    <t>2022-10-01 00:00:00</t>
  </si>
  <si>
    <t>mary susan jones</t>
  </si>
  <si>
    <t>$2504274.94</t>
  </si>
  <si>
    <t>12/30/2019</t>
  </si>
  <si>
    <t>richard joseph williasm</t>
  </si>
  <si>
    <t>$3322197.25</t>
  </si>
  <si>
    <t>10/14/2017</t>
  </si>
  <si>
    <t>FRANCISCO FRANCISCO MARTIN</t>
  </si>
  <si>
    <t>$5132572.82</t>
  </si>
  <si>
    <t>03/20/2013</t>
  </si>
  <si>
    <t>3ang jun liu</t>
  </si>
  <si>
    <t>$2342554.45</t>
  </si>
  <si>
    <t>01/26/2014</t>
  </si>
  <si>
    <t>alnie  francisca  santos</t>
  </si>
  <si>
    <t>$4061822.42</t>
  </si>
  <si>
    <t>2021-07-04 00:00:00</t>
  </si>
  <si>
    <t>salvatore giovanni rossi</t>
  </si>
  <si>
    <t>$2933579.69</t>
  </si>
  <si>
    <t>01/16/2015</t>
  </si>
  <si>
    <t>monique marie thomas</t>
  </si>
  <si>
    <t>$5015594.84</t>
  </si>
  <si>
    <t>2012-08-07 00:00:00</t>
  </si>
  <si>
    <t>antônia antônia oliveira</t>
  </si>
  <si>
    <t>$4487246.59</t>
  </si>
  <si>
    <t>03/20/2015</t>
  </si>
  <si>
    <t>cARMELa lUCia ferRARI</t>
  </si>
  <si>
    <t>juliana antônia ferreira</t>
  </si>
  <si>
    <t>$4721278.74</t>
  </si>
  <si>
    <t>2020-06-10 00:00:00</t>
  </si>
  <si>
    <t>klaus wolfgang meyer</t>
  </si>
  <si>
    <t>$4288562.82</t>
  </si>
  <si>
    <t>10/18/2013</t>
  </si>
  <si>
    <t>yan ping huang</t>
  </si>
  <si>
    <t>$5069903.59</t>
  </si>
  <si>
    <t>12/17/2011</t>
  </si>
  <si>
    <t>josé  luis  daniel  fernández</t>
  </si>
  <si>
    <t>$2494101.47</t>
  </si>
  <si>
    <t>03/26/2013</t>
  </si>
  <si>
    <t>rené christophe robert</t>
  </si>
  <si>
    <t>$3936575.88</t>
  </si>
  <si>
    <t>2015-06-09 00:00:00</t>
  </si>
  <si>
    <t>Frnace</t>
  </si>
  <si>
    <t>lucia angeal colombo</t>
  </si>
  <si>
    <t>$2029662.38</t>
  </si>
  <si>
    <t>2020-07-07 00:00:00</t>
  </si>
  <si>
    <t>maria sabine weber</t>
  </si>
  <si>
    <t>juliana maria ferreira</t>
  </si>
  <si>
    <t>$3396111.91</t>
  </si>
  <si>
    <t>03/18/2016</t>
  </si>
  <si>
    <t>renate maria hoffmann</t>
  </si>
  <si>
    <t>$3873724.72</t>
  </si>
  <si>
    <t>2013-05-07 00:00:00</t>
  </si>
  <si>
    <t>ana antônia gomes</t>
  </si>
  <si>
    <t>$4975692.07</t>
  </si>
  <si>
    <t>03/13/2018</t>
  </si>
  <si>
    <t>hao lei li</t>
  </si>
  <si>
    <t>$2329285.16</t>
  </si>
  <si>
    <t>2022-08-02 00:00:00</t>
  </si>
  <si>
    <t>KENJi toRu WATaNABe</t>
  </si>
  <si>
    <t>$2983621.99</t>
  </si>
  <si>
    <t>2021-11-01 00:00:00</t>
  </si>
  <si>
    <t>françoise martine thomas</t>
  </si>
  <si>
    <t>$3200878.66</t>
  </si>
  <si>
    <t>01/26/2017</t>
  </si>
  <si>
    <t>toru yu7i kobayashi</t>
  </si>
  <si>
    <t>$1987896.78</t>
  </si>
  <si>
    <t>05/18/2014</t>
  </si>
  <si>
    <t>andre2s peter schneider</t>
  </si>
  <si>
    <t>$3987308.43</t>
  </si>
  <si>
    <t>2015-09-05 00:00:00</t>
  </si>
  <si>
    <t>akiko yoshiko suzuki</t>
  </si>
  <si>
    <t>$3807156.00</t>
  </si>
  <si>
    <t>2017-11-02 00:00:00</t>
  </si>
  <si>
    <t>yang ju nyang</t>
  </si>
  <si>
    <t>$3573050.40</t>
  </si>
  <si>
    <t>04/22/2014</t>
  </si>
  <si>
    <t>Chnia</t>
  </si>
  <si>
    <t>angelo pietro bianchi</t>
  </si>
  <si>
    <t>min lan wang</t>
  </si>
  <si>
    <t>$4758505.54</t>
  </si>
  <si>
    <t>07/20/2016</t>
  </si>
  <si>
    <t>juliana  fernanda  silva</t>
  </si>
  <si>
    <t>$4730720.28</t>
  </si>
  <si>
    <t>06/25/2014</t>
  </si>
  <si>
    <t>angelo giuseppe ricci</t>
  </si>
  <si>
    <t>$3362468.43</t>
  </si>
  <si>
    <t>03/15/2015</t>
  </si>
  <si>
    <t>tIaly</t>
  </si>
  <si>
    <t>alain andré robert</t>
  </si>
  <si>
    <t>$2439935.37</t>
  </si>
  <si>
    <t>03/19/2019</t>
  </si>
  <si>
    <t>maria  rosa  ferrari</t>
  </si>
  <si>
    <t>$4486680.87</t>
  </si>
  <si>
    <t>2021-12-06 00:00:00</t>
  </si>
  <si>
    <t>ANDRÉ RENÉ RICHARD</t>
  </si>
  <si>
    <t>$3900776.81</t>
  </si>
  <si>
    <t>02/16/2011</t>
  </si>
  <si>
    <t>akira kenji kobayashi</t>
  </si>
  <si>
    <t>joseph thomas martinez</t>
  </si>
  <si>
    <t>$2636971.33</t>
  </si>
  <si>
    <t>04/26/2013</t>
  </si>
  <si>
    <t>ISABEL TERESA LÓPZE</t>
  </si>
  <si>
    <t>$4782600.80</t>
  </si>
  <si>
    <t>02/15/2019</t>
  </si>
  <si>
    <t>Spain?</t>
  </si>
  <si>
    <t>li yan chen</t>
  </si>
  <si>
    <t>$4618778.42</t>
  </si>
  <si>
    <t>09/14/2021</t>
  </si>
  <si>
    <t>nicolas jean laurent</t>
  </si>
  <si>
    <t>$1996763.25</t>
  </si>
  <si>
    <t>FRANCE</t>
  </si>
  <si>
    <t>HelgA Sabine MeyER</t>
  </si>
  <si>
    <t>$3730608.53</t>
  </si>
  <si>
    <t>03/20/2014</t>
  </si>
  <si>
    <t>rosa teresa ricci</t>
  </si>
  <si>
    <t>$3687983.95</t>
  </si>
  <si>
    <t>05/22/2015</t>
  </si>
  <si>
    <t>min min wu</t>
  </si>
  <si>
    <t>$1875943.58</t>
  </si>
  <si>
    <t>11/17/2010</t>
  </si>
  <si>
    <t>yang qiang zaho</t>
  </si>
  <si>
    <t>$4453496.57</t>
  </si>
  <si>
    <t>2011-03-10 00:00:00</t>
  </si>
  <si>
    <t>josé luis josé luis fernández</t>
  </si>
  <si>
    <t>$3754719.94</t>
  </si>
  <si>
    <t>2011-03-01 00:00:00</t>
  </si>
  <si>
    <t>hiroshi satoshi tanaka</t>
  </si>
  <si>
    <t>$4473507.76</t>
  </si>
  <si>
    <t>2012-03-03 00:00:00</t>
  </si>
  <si>
    <t>THOMAS  THOMAS  SCHNEIDER</t>
  </si>
  <si>
    <t>$3262741.78</t>
  </si>
  <si>
    <t>01/31/2012</t>
  </si>
  <si>
    <t>nathalie  sandrine  moreau</t>
  </si>
  <si>
    <t>2014-10-07 00:00:00</t>
  </si>
  <si>
    <t>hans hans wagner</t>
  </si>
  <si>
    <t>$2096091.96</t>
  </si>
  <si>
    <t>2014-03-07 00:00:00</t>
  </si>
  <si>
    <t>sarah mary miller</t>
  </si>
  <si>
    <t>$3174126.13</t>
  </si>
  <si>
    <t>12/14/2012</t>
  </si>
  <si>
    <t>josefa maría pilar pérez</t>
  </si>
  <si>
    <t>$2444665.13</t>
  </si>
  <si>
    <t>10/21/2019</t>
  </si>
  <si>
    <t>Sapin</t>
  </si>
  <si>
    <t>mrác&amp;a  juliana  pereira</t>
  </si>
  <si>
    <t>$4449940.33</t>
  </si>
  <si>
    <t>08/21/2016</t>
  </si>
  <si>
    <t>Brazil?</t>
  </si>
  <si>
    <t>marcos antônio oliveira</t>
  </si>
  <si>
    <t>$2087535.43</t>
  </si>
  <si>
    <t>09/27/2021</t>
  </si>
  <si>
    <t>masako yoko ito</t>
  </si>
  <si>
    <t>$2351848.18</t>
  </si>
  <si>
    <t>2020-03-06 00:00:00</t>
  </si>
  <si>
    <t>Japán</t>
  </si>
  <si>
    <t>wolfgang michael hoffmann</t>
  </si>
  <si>
    <t>$4212289.03</t>
  </si>
  <si>
    <t>01/15/2018</t>
  </si>
  <si>
    <t>nat*alie  françoise  robert</t>
  </si>
  <si>
    <t>$4945012.86</t>
  </si>
  <si>
    <t>2020-09-01 00:00:00</t>
  </si>
  <si>
    <t>francisca  adriana  lima</t>
  </si>
  <si>
    <t>$4602585.58</t>
  </si>
  <si>
    <t>2011-04-03 00:00:00</t>
  </si>
  <si>
    <t>ANGELA CARMELA BIANCHI</t>
  </si>
  <si>
    <t>$2222691.67</t>
  </si>
  <si>
    <t>11/30/2012</t>
  </si>
  <si>
    <t>FANG M$I LI</t>
  </si>
  <si>
    <t>$1833942.37</t>
  </si>
  <si>
    <t>2012-09-01 00:00:00</t>
  </si>
  <si>
    <t>patrícia aline ferreira</t>
  </si>
  <si>
    <t>$2129980.90</t>
  </si>
  <si>
    <t>08/13/2012</t>
  </si>
  <si>
    <t>angela maria romano</t>
  </si>
  <si>
    <t>$2094202.30</t>
  </si>
  <si>
    <t>2010-11-11 00:00:00</t>
  </si>
  <si>
    <t>alain christophe petit</t>
  </si>
  <si>
    <t>$4015778.76</t>
  </si>
  <si>
    <t>04/24/2017</t>
  </si>
  <si>
    <t>barbara  jessica  rodriguez</t>
  </si>
  <si>
    <t>$4721563.86</t>
  </si>
  <si>
    <t>josé antonio gómez</t>
  </si>
  <si>
    <t>$3700070.49</t>
  </si>
  <si>
    <t>12/18/2019</t>
  </si>
  <si>
    <t>hAo  qianG  zh4O</t>
  </si>
  <si>
    <t>$4255337.39</t>
  </si>
  <si>
    <t>tomoko tomoko kato</t>
  </si>
  <si>
    <t>$4571818.97</t>
  </si>
  <si>
    <t>2011-01-02 00:00:00</t>
  </si>
  <si>
    <t>linda jessica brown</t>
  </si>
  <si>
    <t>$3737782.92</t>
  </si>
  <si>
    <t>05/29/2017</t>
  </si>
  <si>
    <t>sandrin emonique moreau</t>
  </si>
  <si>
    <t>$2559083.10</t>
  </si>
  <si>
    <t>03/28/2017</t>
  </si>
  <si>
    <t>NAOKO MICHIKO NAKA0UAR</t>
  </si>
  <si>
    <t>$2141342.69</t>
  </si>
  <si>
    <t>08/30/2018</t>
  </si>
  <si>
    <t>mar!a antônia gomes</t>
  </si>
  <si>
    <t>$4357412.47</t>
  </si>
  <si>
    <t>04/16/2020</t>
  </si>
  <si>
    <t>patrícia adriana alves</t>
  </si>
  <si>
    <t>SANDRINE MONIQ5E LAURENT</t>
  </si>
  <si>
    <t>$5162025.01</t>
  </si>
  <si>
    <t>2016-02-11 00:00:00</t>
  </si>
  <si>
    <t>nicolas michel thomas</t>
  </si>
  <si>
    <t>$3547654.59</t>
  </si>
  <si>
    <t>10/22/2014</t>
  </si>
  <si>
    <t>andreas klaus becker</t>
  </si>
  <si>
    <t>$4788560.92</t>
  </si>
  <si>
    <t>08/21/2014</t>
  </si>
  <si>
    <t>stefan stefan me#er</t>
  </si>
  <si>
    <t>$4510821.64</t>
  </si>
  <si>
    <t>2021-09-04 00:00:00</t>
  </si>
  <si>
    <t>linda sarah brown</t>
  </si>
  <si>
    <t>$5191097.12</t>
  </si>
  <si>
    <t>lucas paulo lima</t>
  </si>
  <si>
    <t>$3428454.32</t>
  </si>
  <si>
    <t>10/28/2016</t>
  </si>
  <si>
    <t>andré  rené  moreau</t>
  </si>
  <si>
    <t>$2710734.82</t>
  </si>
  <si>
    <t>03/18/2011</t>
  </si>
  <si>
    <t>sachiko tomoko sato</t>
  </si>
  <si>
    <t>$3661205.12</t>
  </si>
  <si>
    <t>2017-06-06 00:00:00</t>
  </si>
  <si>
    <t>lan mei li</t>
  </si>
  <si>
    <t>China?</t>
  </si>
  <si>
    <t>isabel teresa rodríguez</t>
  </si>
  <si>
    <t>$2803732.44</t>
  </si>
  <si>
    <t>05/24/2019</t>
  </si>
  <si>
    <t>sylvie  fr6nçoise  robert</t>
  </si>
  <si>
    <t>$1923403.57</t>
  </si>
  <si>
    <t>09/18/2015</t>
  </si>
  <si>
    <t>proper name</t>
  </si>
  <si>
    <t>cleaned name</t>
  </si>
  <si>
    <t>words count</t>
  </si>
  <si>
    <t>María Carmen Carmen Pérez</t>
  </si>
  <si>
    <t>SachIKO YOSHIkO YAMaMoTO</t>
  </si>
  <si>
    <t>José Luis José Luis Rodríguez</t>
  </si>
  <si>
    <t>yuki hiroshi yamamoto</t>
  </si>
  <si>
    <t>Yan Yan Zha G</t>
  </si>
  <si>
    <t>María Dolores María Dolores López</t>
  </si>
  <si>
    <t>tHoMAS RobeRT brOWN</t>
  </si>
  <si>
    <t>María Dolores Teresa Garcia</t>
  </si>
  <si>
    <t>márcia ana oliveira</t>
  </si>
  <si>
    <t>Ana María Carmen Sánchez</t>
  </si>
  <si>
    <t>Laura Maria Carmen Rodríguez</t>
  </si>
  <si>
    <t>Francisco José Luis Fernández</t>
  </si>
  <si>
    <t>Teresa María Carmen Martínez</t>
  </si>
  <si>
    <t>José Antônio L Ima</t>
  </si>
  <si>
    <t>mARíA CArmen CArMEN PéRez</t>
  </si>
  <si>
    <t>María María Carmen Gómez</t>
  </si>
  <si>
    <t>José Luis Danile Fernández</t>
  </si>
  <si>
    <t>José Luis José Luis Fernández</t>
  </si>
  <si>
    <t>Josefa María Pilar Pérez</t>
  </si>
  <si>
    <t>thomas robert martinez</t>
  </si>
  <si>
    <t>osamu hiroshi suzuki</t>
  </si>
  <si>
    <t>jin yang liu</t>
  </si>
  <si>
    <t>keiko michiko ito</t>
  </si>
  <si>
    <t>jing ping li</t>
  </si>
  <si>
    <t>alain nicolas bernard</t>
  </si>
  <si>
    <t>david richard garcia</t>
  </si>
  <si>
    <t>klaus peter schneider</t>
  </si>
  <si>
    <t>yan yan zha g</t>
  </si>
  <si>
    <t>keiko yoko nakamura</t>
  </si>
  <si>
    <t>takashi akira nakamura</t>
  </si>
  <si>
    <t>david richard martinez</t>
  </si>
  <si>
    <t>christopher richard johnson</t>
  </si>
  <si>
    <t>andreas wolfgang hoffmann</t>
  </si>
  <si>
    <t>paulo paulo rodrigues</t>
  </si>
  <si>
    <t>manuel josé sánchez</t>
  </si>
  <si>
    <t>marÍa DoLorEs TEresa garCiA</t>
  </si>
  <si>
    <t>laura laura sánchez</t>
  </si>
  <si>
    <t>NAthalie moNIquE RoBeRt</t>
  </si>
  <si>
    <t>yOShIko ToMoKO nAKAmuRA</t>
  </si>
  <si>
    <t>antônio marcos silva</t>
  </si>
  <si>
    <t>ángel javier martínez</t>
  </si>
  <si>
    <t>isabelle nathalie dubois</t>
  </si>
  <si>
    <t>laUra MAria CARMEN roDrÍgUeZ</t>
  </si>
  <si>
    <t>nicolas philippe robert</t>
  </si>
  <si>
    <t>li jing wang</t>
  </si>
  <si>
    <t>vincenzo vincenzo esposito</t>
  </si>
  <si>
    <t>natHalie moNiqUe DuBoIs</t>
  </si>
  <si>
    <t>sarah mary garcia</t>
  </si>
  <si>
    <t>yan yan huang</t>
  </si>
  <si>
    <t>adriana maria rodrigues</t>
  </si>
  <si>
    <t>david david fernández</t>
  </si>
  <si>
    <t>giuseppe giuseppe esposito</t>
  </si>
  <si>
    <t>josé david onzález</t>
  </si>
  <si>
    <t>juan manuel rodríguez</t>
  </si>
  <si>
    <t>sandrine sylvie moreau</t>
  </si>
  <si>
    <t>luiz luiz oliveira</t>
  </si>
  <si>
    <t>fraNcisco josé LuIs fERnÁndez</t>
  </si>
  <si>
    <t>wililam wililam garcia</t>
  </si>
  <si>
    <t>yuki shinji ito</t>
  </si>
  <si>
    <t>teresa maría carmen martínez</t>
  </si>
  <si>
    <t>ANgELA CARMELA GRECO</t>
  </si>
  <si>
    <t>christian klaus fischer</t>
  </si>
  <si>
    <t>JOSÉ ANTÔNIO L IMA</t>
  </si>
  <si>
    <t>michael klaus schmidt</t>
  </si>
  <si>
    <t>monique sandrine robert</t>
  </si>
  <si>
    <t>gang lei zhou</t>
  </si>
  <si>
    <t>ANToNio AnTONio gÓMez</t>
  </si>
  <si>
    <t>mei lan wu</t>
  </si>
  <si>
    <t>alain jea nthomas</t>
  </si>
  <si>
    <t>maría maría carmen gómez</t>
  </si>
  <si>
    <t>lucas marcos rodrigues</t>
  </si>
  <si>
    <t>lan fang zhao</t>
  </si>
  <si>
    <t>ping yan yang</t>
  </si>
  <si>
    <t>HANS WOLFGANG BECKeR</t>
  </si>
  <si>
    <t>miCHIko YosHiKo YamAmOTO</t>
  </si>
  <si>
    <t>juliana aline silva</t>
  </si>
  <si>
    <t>rené louis dubois</t>
  </si>
  <si>
    <t>stefan stefan müller</t>
  </si>
  <si>
    <t>christian frank müller</t>
  </si>
  <si>
    <t>Yuki hIrOsHI WATAnaBe</t>
  </si>
  <si>
    <t>petra ursula fischer</t>
  </si>
  <si>
    <t>fang jun liu</t>
  </si>
  <si>
    <t>aline francisca santos</t>
  </si>
  <si>
    <t>josé luis danile fernández</t>
  </si>
  <si>
    <t>lucia angela colombo</t>
  </si>
  <si>
    <t>toru yuki kobayashi</t>
  </si>
  <si>
    <t>andreas peter schneider</t>
  </si>
  <si>
    <t>juliana fernanda silva</t>
  </si>
  <si>
    <t>maria rosa ferrari</t>
  </si>
  <si>
    <t>ISABEL TERESA LÓPEZ</t>
  </si>
  <si>
    <t>yang qiang zhao</t>
  </si>
  <si>
    <t>THOMAS THOMAS SCHNEIDER</t>
  </si>
  <si>
    <t>nathalie sandrine moreau</t>
  </si>
  <si>
    <t>sarah mary millre</t>
  </si>
  <si>
    <t>márcia juliana pereira</t>
  </si>
  <si>
    <t>nathalie françoise robert</t>
  </si>
  <si>
    <t>francisca adriana lima</t>
  </si>
  <si>
    <t>FANG MIn LI</t>
  </si>
  <si>
    <t>barbara jessica rodriguez</t>
  </si>
  <si>
    <t>hAo qianG zhaO</t>
  </si>
  <si>
    <t>NAOKO MICHIKO NAKAmURA</t>
  </si>
  <si>
    <t>maria antônia gomes</t>
  </si>
  <si>
    <t>SANDRINE MONIQuE LAURENT</t>
  </si>
  <si>
    <t>stefan stefan meyer</t>
  </si>
  <si>
    <t>andré rené moreau</t>
  </si>
  <si>
    <t>sylvie françoise 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</si>
</sst>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yyyy\-mm\-dd;@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0" xfId="0" applyFont="1" applyFill="1"/>
    <xf numFmtId="0" fontId="1" fillId="0" borderId="0" xfId="0" applyFont="1"/>
    <xf numFmtId="164" fontId="1" fillId="0" borderId="0" xfId="0" applyNumberFormat="1" applyFont="1"/>
    <xf numFmtId="164" fontId="0" fillId="0" borderId="1" xfId="0" applyNumberFormat="1" applyBorder="1"/>
    <xf numFmtId="164" fontId="0" fillId="0" borderId="0" xfId="0" applyNumberFormat="1"/>
    <xf numFmtId="165" fontId="1" fillId="0" borderId="0" xfId="0" applyNumberFormat="1" applyFont="1"/>
    <xf numFmtId="165" fontId="0" fillId="0" borderId="1" xfId="0" applyNumberFormat="1" applyBorder="1"/>
    <xf numFmtId="165" fontId="0" fillId="0" borderId="0" xfId="0" applyNumberFormat="1"/>
    <xf numFmtId="0" fontId="0" fillId="0" borderId="0" xfId="0" applyNumberFormat="1"/>
    <xf numFmtId="0" fontId="0" fillId="0" borderId="1" xfId="0" applyFont="1" applyFill="1" applyBorder="1"/>
    <xf numFmtId="0" fontId="0" fillId="0" borderId="1" xfId="0" applyNumberFormat="1" applyFont="1" applyFill="1" applyBorder="1"/>
    <xf numFmtId="164" fontId="0" fillId="0" borderId="1" xfId="0" applyNumberFormat="1" applyFont="1" applyFill="1" applyBorder="1"/>
    <xf numFmtId="165" fontId="0" fillId="0" borderId="1" xfId="0" applyNumberFormat="1" applyFont="1" applyFill="1" applyBorder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/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/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/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;@"/>
      <fill>
        <patternFill patternType="none"/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/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/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/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/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theme="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9EBF7C6-8175-4CF1-8F15-6E8A3984C960}" autoFormatId="16" applyNumberFormats="0" applyBorderFormats="0" applyFontFormats="0" applyPatternFormats="0" applyAlignmentFormats="0" applyWidthHeightFormats="0">
  <queryTableRefresh nextId="5" unboundColumnsRight="3">
    <queryTableFields count="4">
      <queryTableField id="1" name="Column1" tableColumnId="1"/>
      <queryTableField id="2" dataBound="0" tableColumnId="2"/>
      <queryTableField id="4" dataBound="0" tableColumnId="4"/>
      <queryTableField id="3" dataBound="0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08E772-CCCB-4FD1-A0B3-EA3D4447093D}" name="clean_data" displayName="clean_data" ref="A1:I252" totalsRowShown="0" headerRowDxfId="28" dataDxfId="27" tableBorderDxfId="26">
  <autoFilter ref="A1:I252" xr:uid="{7308E772-CCCB-4FD1-A0B3-EA3D4447093D}"/>
  <sortState xmlns:xlrd2="http://schemas.microsoft.com/office/spreadsheetml/2017/richdata2" ref="A2:I252">
    <sortCondition ref="A1:A251"/>
  </sortState>
  <tableColumns count="9">
    <tableColumn id="1" xr3:uid="{7FCA311C-E423-4477-B604-38E16E2E7882}" name="ID" dataDxfId="25"/>
    <tableColumn id="2" xr3:uid="{2F56087A-1289-4B61-8C0C-1A5B020BC890}" name="name" dataDxfId="24"/>
    <tableColumn id="3" xr3:uid="{52AC1043-9EAB-4CAD-979C-B5C60BC4BC8F}" name="gender" dataDxfId="23">
      <calculatedColumnFormula>IF(data[[#This Row],[gender]] = "M", "Male", "Female")</calculatedColumnFormula>
    </tableColumn>
    <tableColumn id="4" xr3:uid="{3BF6AE3F-82E3-40AB-8CDA-6C614D0BE4A5}" name="department" dataDxfId="22">
      <calculatedColumnFormula>UPPER(data[[#This Row],[department]])</calculatedColumnFormula>
    </tableColumn>
    <tableColumn id="5" xr3:uid="{6CD16171-C039-41D6-8BDD-264A16E64A31}" name="salary" dataDxfId="21"/>
    <tableColumn id="6" xr3:uid="{25F80ECB-D5F3-40B4-9078-3A65C268CAA6}" name="contract_start_date" dataDxfId="20"/>
    <tableColumn id="7" xr3:uid="{6BCA8E2E-E95B-459D-8C23-61C849029FB2}" name="tenure" dataDxfId="19">
      <calculatedColumnFormula>IF(data[[#This Row],[tenure]], "full time", "part time")</calculatedColumnFormula>
    </tableColumn>
    <tableColumn id="8" xr3:uid="{286308A5-0212-40AB-8258-C7C0EB698E79}" name="contract_type" dataDxfId="18">
      <calculatedColumnFormula>IF(data[[#This Row],[contract_type]], "permanent", "fixed-term")</calculatedColumnFormula>
    </tableColumn>
    <tableColumn id="9" xr3:uid="{5A8908DB-C124-4937-8AA0-500D496EFCDC}" name="country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0F1734-F7E8-41E2-9F12-BF45907CF7F1}" name="data" displayName="data" ref="A1:I251" totalsRowShown="0" headerRowDxfId="16" dataDxfId="15" tableBorderDxfId="14">
  <autoFilter ref="A1:I251" xr:uid="{B40F1734-F7E8-41E2-9F12-BF45907CF7F1}"/>
  <tableColumns count="9">
    <tableColumn id="1" xr3:uid="{236A44BC-2B0D-486A-B780-9231875F3DE1}" name="ID" dataDxfId="13"/>
    <tableColumn id="2" xr3:uid="{0934673F-06A3-41BA-8D2D-F9E184700BC3}" name="name" dataDxfId="12"/>
    <tableColumn id="3" xr3:uid="{8D43B90A-4F3E-4872-BC6F-454354F6EB87}" name="gender" dataDxfId="11"/>
    <tableColumn id="4" xr3:uid="{40254BC1-A730-4A5E-987E-59717E0C1F39}" name="department" dataDxfId="10"/>
    <tableColumn id="5" xr3:uid="{A5919A20-6A3B-4A12-8F91-BCEF0B68F19F}" name="salary" dataDxfId="9"/>
    <tableColumn id="6" xr3:uid="{D8136BBE-5320-47A6-A914-366F9A885F6B}" name="contract_start_date" dataDxfId="8"/>
    <tableColumn id="7" xr3:uid="{0439C1E6-8C6E-446A-80E2-FC8554155937}" name="tenure" dataDxfId="7"/>
    <tableColumn id="8" xr3:uid="{20EAC286-C2CE-40B3-B318-819B00665013}" name="contract_type" dataDxfId="6"/>
    <tableColumn id="9" xr3:uid="{2026369B-1270-4F97-9999-2688BD9126DB}" name="country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61324E-6642-4AC4-9FC0-75E64C354613}" name="cleaned_names1" displayName="cleaned_names1" ref="A1:D252" tableType="queryTable" totalsRowShown="0" dataDxfId="4">
  <autoFilter ref="A1:D252" xr:uid="{2561324E-6642-4AC4-9FC0-75E64C354613}"/>
  <tableColumns count="4">
    <tableColumn id="1" xr3:uid="{149ADA6F-0951-4115-8110-57D8BF27CD03}" uniqueName="1" name="name" queryTableFieldId="1" dataDxfId="3"/>
    <tableColumn id="2" xr3:uid="{5EF9FAFF-EE17-496A-9DD3-D59828CD0B9A}" uniqueName="2" name="proper name" queryTableFieldId="2" dataDxfId="2">
      <calculatedColumnFormula>TRIM(PROPER(cleaned_names1[[#This Row],[name]]))</calculatedColumnFormula>
    </tableColumn>
    <tableColumn id="4" xr3:uid="{DEBC0F41-4DFB-4C95-9B26-20B72E579918}" uniqueName="4" name="cleaned name" queryTableFieldId="4" dataDxfId="1">
      <calculatedColumnFormula>_xlfn.XLOOKUP(cleaned_names1[[#This Row],[proper name]], F$2:F$15, G$2:G$15, cleaned_names1[[#This Row],[proper name]])</calculatedColumnFormula>
    </tableColumn>
    <tableColumn id="3" xr3:uid="{83DB5F0D-6697-49CB-9F05-96E0A44F9986}" uniqueName="3" name="words count" queryTableFieldId="3" dataDxfId="0">
      <calculatedColumnFormula>COUNTA(_xlfn.TEXTSPLIT(cleaned_names1[cleaned name], " 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6D57-B8E1-4189-AB24-D8836954F735}">
  <dimension ref="A1:I252"/>
  <sheetViews>
    <sheetView tabSelected="1" workbookViewId="0">
      <selection activeCell="C8" sqref="C8"/>
    </sheetView>
  </sheetViews>
  <sheetFormatPr defaultRowHeight="15"/>
  <cols>
    <col min="1" max="1" width="5.42578125" bestFit="1" customWidth="1"/>
    <col min="2" max="2" width="31.42578125" bestFit="1" customWidth="1"/>
    <col min="3" max="3" width="9.7109375" bestFit="1" customWidth="1"/>
    <col min="4" max="4" width="25.7109375" bestFit="1" customWidth="1"/>
    <col min="5" max="5" width="14.7109375" style="7" bestFit="1" customWidth="1"/>
    <col min="6" max="6" width="21.42578125" style="10" bestFit="1" customWidth="1"/>
    <col min="7" max="7" width="16.85546875" customWidth="1"/>
    <col min="8" max="8" width="20" customWidth="1"/>
    <col min="9" max="9" width="14.5703125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8" t="s">
        <v>5</v>
      </c>
      <c r="G1" s="4" t="s">
        <v>6</v>
      </c>
      <c r="H1" s="4" t="s">
        <v>7</v>
      </c>
      <c r="I1" s="4" t="s">
        <v>8</v>
      </c>
    </row>
    <row r="2" spans="1:9">
      <c r="A2" s="2">
        <v>1008</v>
      </c>
      <c r="B2" s="2" t="s">
        <v>9</v>
      </c>
      <c r="C2" s="2" t="str">
        <f>IF(data[[#This Row],[gender]] = "M", "Male", "Female")</f>
        <v>Male</v>
      </c>
      <c r="D2" s="2" t="str">
        <f>UPPER(data[[#This Row],[department]])</f>
        <v>ENGINEERING</v>
      </c>
      <c r="E2" s="6">
        <v>1944778.73</v>
      </c>
      <c r="F2" s="9">
        <v>43939</v>
      </c>
      <c r="G2" s="2" t="str">
        <f>IF(data[[#This Row],[tenure]], "full time", "part time")</f>
        <v>part time</v>
      </c>
      <c r="H2" s="2" t="str">
        <f>IF(data[[#This Row],[contract_type]], "permanent", "fixed-term")</f>
        <v>permanent</v>
      </c>
      <c r="I2" s="2" t="s">
        <v>10</v>
      </c>
    </row>
    <row r="3" spans="1:9">
      <c r="A3" s="2">
        <v>1026</v>
      </c>
      <c r="B3" s="2" t="s">
        <v>11</v>
      </c>
      <c r="C3" s="2" t="str">
        <f>IF(data[[#This Row],[gender]] = "M", "Male", "Female")</f>
        <v>Female</v>
      </c>
      <c r="D3" s="2" t="str">
        <f>UPPER(data[[#This Row],[department]])</f>
        <v>BUSINESS DEVELOPMENT</v>
      </c>
      <c r="E3" s="6">
        <v>4034920.53</v>
      </c>
      <c r="F3" s="9">
        <v>42024</v>
      </c>
      <c r="G3" s="2" t="str">
        <f>IF(data[[#This Row],[tenure]], "full time", "part time")</f>
        <v>full time</v>
      </c>
      <c r="H3" s="2" t="str">
        <f>IF(data[[#This Row],[contract_type]], "permanent", "fixed-term")</f>
        <v>fixed-term</v>
      </c>
      <c r="I3" s="2" t="s">
        <v>12</v>
      </c>
    </row>
    <row r="4" spans="1:9">
      <c r="A4" s="2">
        <v>1058</v>
      </c>
      <c r="B4" s="2" t="s">
        <v>13</v>
      </c>
      <c r="C4" s="2" t="str">
        <f>IF(data[[#This Row],[gender]] = "M", "Male", "Female")</f>
        <v>Male</v>
      </c>
      <c r="D4" s="2" t="str">
        <f>UPPER(data[[#This Row],[department]])</f>
        <v>ACCOUNTING</v>
      </c>
      <c r="E4" s="6">
        <v>4448553.53</v>
      </c>
      <c r="F4" s="9">
        <v>40924</v>
      </c>
      <c r="G4" s="2" t="str">
        <f>IF(data[[#This Row],[tenure]], "full time", "part time")</f>
        <v>full time</v>
      </c>
      <c r="H4" s="2" t="str">
        <f>IF(data[[#This Row],[contract_type]], "permanent", "fixed-term")</f>
        <v>fixed-term</v>
      </c>
      <c r="I4" s="2" t="s">
        <v>12</v>
      </c>
    </row>
    <row r="5" spans="1:9">
      <c r="A5" s="2">
        <v>1058</v>
      </c>
      <c r="B5" s="2" t="s">
        <v>14</v>
      </c>
      <c r="C5" s="2" t="str">
        <f>IF(data[[#This Row],[gender]] = "M", "Male", "Female")</f>
        <v>Male</v>
      </c>
      <c r="D5" s="2" t="str">
        <f>UPPER(data[[#This Row],[department]])</f>
        <v>ENGINEERING</v>
      </c>
      <c r="E5" s="6">
        <v>3703534.33</v>
      </c>
      <c r="F5" s="9">
        <v>42084</v>
      </c>
      <c r="G5" s="2" t="str">
        <f>IF(data[[#This Row],[tenure]], "full time", "part time")</f>
        <v>full time</v>
      </c>
      <c r="H5" s="2" t="str">
        <f>IF(data[[#This Row],[contract_type]], "permanent", "fixed-term")</f>
        <v>fixed-term</v>
      </c>
      <c r="I5" s="2" t="s">
        <v>15</v>
      </c>
    </row>
    <row r="6" spans="1:9">
      <c r="A6" s="2">
        <v>1064</v>
      </c>
      <c r="B6" s="2" t="s">
        <v>16</v>
      </c>
      <c r="C6" s="2" t="str">
        <f>IF(data[[#This Row],[gender]] = "M", "Male", "Female")</f>
        <v>Male</v>
      </c>
      <c r="D6" s="2" t="str">
        <f>UPPER(data[[#This Row],[department]])</f>
        <v>SERVICES</v>
      </c>
      <c r="E6" s="6">
        <v>2211818.29</v>
      </c>
      <c r="F6" s="9">
        <v>44252</v>
      </c>
      <c r="G6" s="2" t="str">
        <f>IF(data[[#This Row],[tenure]], "full time", "part time")</f>
        <v>part time</v>
      </c>
      <c r="H6" s="2" t="str">
        <f>IF(data[[#This Row],[contract_type]], "permanent", "fixed-term")</f>
        <v>fixed-term</v>
      </c>
      <c r="I6" s="2" t="s">
        <v>15</v>
      </c>
    </row>
    <row r="7" spans="1:9">
      <c r="A7" s="2">
        <v>1074</v>
      </c>
      <c r="B7" s="2" t="s">
        <v>17</v>
      </c>
      <c r="C7" s="2" t="str">
        <f>IF(data[[#This Row],[gender]] = "M", "Male", "Female")</f>
        <v>Female</v>
      </c>
      <c r="D7" s="2" t="str">
        <f>UPPER(data[[#This Row],[department]])</f>
        <v>SERVICES</v>
      </c>
      <c r="E7" s="6">
        <v>4020821.87</v>
      </c>
      <c r="F7" s="9">
        <v>40992</v>
      </c>
      <c r="G7" s="2" t="str">
        <f>IF(data[[#This Row],[tenure]], "full time", "part time")</f>
        <v>part time</v>
      </c>
      <c r="H7" s="2" t="str">
        <f>IF(data[[#This Row],[contract_type]], "permanent", "fixed-term")</f>
        <v>permanent</v>
      </c>
      <c r="I7" s="2" t="s">
        <v>18</v>
      </c>
    </row>
    <row r="8" spans="1:9">
      <c r="A8" s="2">
        <v>1126</v>
      </c>
      <c r="B8" s="2" t="s">
        <v>19</v>
      </c>
      <c r="C8" s="2" t="str">
        <f>IF(data[[#This Row],[gender]] = "M", "Male", "Female")</f>
        <v>Female</v>
      </c>
      <c r="D8" s="2" t="str">
        <f>UPPER(data[[#This Row],[department]])</f>
        <v>LEGAL</v>
      </c>
      <c r="E8" s="6">
        <v>4088847.65</v>
      </c>
      <c r="F8" s="9">
        <v>42345</v>
      </c>
      <c r="G8" s="2" t="str">
        <f>IF(data[[#This Row],[tenure]], "full time", "part time")</f>
        <v>part time</v>
      </c>
      <c r="H8" s="2" t="str">
        <f>IF(data[[#This Row],[contract_type]], "permanent", "fixed-term")</f>
        <v>fixed-term</v>
      </c>
      <c r="I8" s="2" t="s">
        <v>20</v>
      </c>
    </row>
    <row r="9" spans="1:9">
      <c r="A9" s="2">
        <v>1135</v>
      </c>
      <c r="B9" s="2" t="s">
        <v>21</v>
      </c>
      <c r="C9" s="2" t="str">
        <f>IF(data[[#This Row],[gender]] = "M", "Male", "Female")</f>
        <v>Female</v>
      </c>
      <c r="D9" s="2" t="str">
        <f>UPPER(data[[#This Row],[department]])</f>
        <v>ENGINEERING</v>
      </c>
      <c r="E9" s="6">
        <v>3335383.26</v>
      </c>
      <c r="F9" s="9">
        <v>41824</v>
      </c>
      <c r="G9" s="2" t="str">
        <f>IF(data[[#This Row],[tenure]], "full time", "part time")</f>
        <v>full time</v>
      </c>
      <c r="H9" s="2" t="str">
        <f>IF(data[[#This Row],[contract_type]], "permanent", "fixed-term")</f>
        <v>permanent</v>
      </c>
      <c r="I9" s="2" t="s">
        <v>22</v>
      </c>
    </row>
    <row r="10" spans="1:9">
      <c r="A10" s="2">
        <v>1143</v>
      </c>
      <c r="B10" s="2" t="s">
        <v>23</v>
      </c>
      <c r="C10" s="2" t="str">
        <f>IF(data[[#This Row],[gender]] = "M", "Male", "Female")</f>
        <v>Female</v>
      </c>
      <c r="D10" s="2" t="str">
        <f>UPPER(data[[#This Row],[department]])</f>
        <v>TRAINING</v>
      </c>
      <c r="E10" s="6">
        <v>3206328.21</v>
      </c>
      <c r="F10" s="9">
        <v>44119</v>
      </c>
      <c r="G10" s="2" t="str">
        <f>IF(data[[#This Row],[tenure]], "full time", "part time")</f>
        <v>full time</v>
      </c>
      <c r="H10" s="2" t="str">
        <f>IF(data[[#This Row],[contract_type]], "permanent", "fixed-term")</f>
        <v>permanent</v>
      </c>
      <c r="I10" s="2" t="s">
        <v>24</v>
      </c>
    </row>
    <row r="11" spans="1:9">
      <c r="A11" s="2">
        <v>1147</v>
      </c>
      <c r="B11" s="2" t="s">
        <v>25</v>
      </c>
      <c r="C11" s="2" t="str">
        <f>IF(data[[#This Row],[gender]] = "M", "Male", "Female")</f>
        <v>Male</v>
      </c>
      <c r="D11" s="2" t="str">
        <f>UPPER(data[[#This Row],[department]])</f>
        <v>PRODUCT MANAGEMENT</v>
      </c>
      <c r="E11" s="6">
        <v>2939854.34</v>
      </c>
      <c r="F11" s="9">
        <v>42102</v>
      </c>
      <c r="G11" s="2" t="str">
        <f>IF(data[[#This Row],[tenure]], "full time", "part time")</f>
        <v>part time</v>
      </c>
      <c r="H11" s="2" t="str">
        <f>IF(data[[#This Row],[contract_type]], "permanent", "fixed-term")</f>
        <v>fixed-term</v>
      </c>
      <c r="I11" s="2" t="s">
        <v>18</v>
      </c>
    </row>
    <row r="12" spans="1:9">
      <c r="A12" s="2">
        <v>1241</v>
      </c>
      <c r="B12" s="2" t="s">
        <v>26</v>
      </c>
      <c r="C12" s="2" t="str">
        <f>IF(data[[#This Row],[gender]] = "M", "Male", "Female")</f>
        <v>Female</v>
      </c>
      <c r="D12" s="2" t="str">
        <f>UPPER(data[[#This Row],[department]])</f>
        <v>BUSINESS DEVELOPMENT</v>
      </c>
      <c r="E12" s="6">
        <v>2686327.77</v>
      </c>
      <c r="F12" s="9">
        <v>42216</v>
      </c>
      <c r="G12" s="2" t="str">
        <f>IF(data[[#This Row],[tenure]], "full time", "part time")</f>
        <v>full time</v>
      </c>
      <c r="H12" s="2" t="str">
        <f>IF(data[[#This Row],[contract_type]], "permanent", "fixed-term")</f>
        <v>permanent</v>
      </c>
      <c r="I12" s="2" t="s">
        <v>27</v>
      </c>
    </row>
    <row r="13" spans="1:9">
      <c r="A13" s="2">
        <v>1319</v>
      </c>
      <c r="B13" s="2" t="s">
        <v>28</v>
      </c>
      <c r="C13" s="2" t="str">
        <f>IF(data[[#This Row],[gender]] = "M", "Male", "Female")</f>
        <v>Male</v>
      </c>
      <c r="D13" s="2" t="str">
        <f>UPPER(data[[#This Row],[department]])</f>
        <v>MARKETING</v>
      </c>
      <c r="E13" s="6">
        <v>5000802.7699999996</v>
      </c>
      <c r="F13" s="9">
        <v>43308</v>
      </c>
      <c r="G13" s="2" t="str">
        <f>IF(data[[#This Row],[tenure]], "full time", "part time")</f>
        <v>full time</v>
      </c>
      <c r="H13" s="2" t="str">
        <f>IF(data[[#This Row],[contract_type]], "permanent", "fixed-term")</f>
        <v>permanent</v>
      </c>
      <c r="I13" s="2" t="s">
        <v>20</v>
      </c>
    </row>
    <row r="14" spans="1:9">
      <c r="A14" s="2">
        <v>1371</v>
      </c>
      <c r="B14" s="2" t="s">
        <v>29</v>
      </c>
      <c r="C14" s="2" t="str">
        <f>IF(data[[#This Row],[gender]] = "M", "Male", "Female")</f>
        <v>Male</v>
      </c>
      <c r="D14" s="2" t="str">
        <f>UPPER(data[[#This Row],[department]])</f>
        <v>SUPPORT</v>
      </c>
      <c r="E14" s="6">
        <v>2146329.48</v>
      </c>
      <c r="F14" s="9">
        <v>41579</v>
      </c>
      <c r="G14" s="2" t="str">
        <f>IF(data[[#This Row],[tenure]], "full time", "part time")</f>
        <v>full time</v>
      </c>
      <c r="H14" s="2" t="str">
        <f>IF(data[[#This Row],[contract_type]], "permanent", "fixed-term")</f>
        <v>fixed-term</v>
      </c>
      <c r="I14" s="2" t="s">
        <v>18</v>
      </c>
    </row>
    <row r="15" spans="1:9">
      <c r="A15" s="2">
        <v>1393</v>
      </c>
      <c r="B15" s="2" t="s">
        <v>30</v>
      </c>
      <c r="C15" s="2" t="str">
        <f>IF(data[[#This Row],[gender]] = "M", "Male", "Female")</f>
        <v>Male</v>
      </c>
      <c r="D15" s="2" t="str">
        <f>UPPER(data[[#This Row],[department]])</f>
        <v>SUPPORT</v>
      </c>
      <c r="E15" s="6">
        <v>2146329.48</v>
      </c>
      <c r="F15" s="9">
        <v>41579</v>
      </c>
      <c r="G15" s="2" t="str">
        <f>IF(data[[#This Row],[tenure]], "full time", "part time")</f>
        <v>full time</v>
      </c>
      <c r="H15" s="2" t="str">
        <f>IF(data[[#This Row],[contract_type]], "permanent", "fixed-term")</f>
        <v>fixed-term</v>
      </c>
      <c r="I15" s="2" t="s">
        <v>10</v>
      </c>
    </row>
    <row r="16" spans="1:9">
      <c r="A16" s="2">
        <v>1429</v>
      </c>
      <c r="B16" s="2" t="s">
        <v>31</v>
      </c>
      <c r="C16" s="2" t="str">
        <f>IF(data[[#This Row],[gender]] = "M", "Male", "Female")</f>
        <v>Male</v>
      </c>
      <c r="D16" s="2" t="str">
        <f>UPPER(data[[#This Row],[department]])</f>
        <v/>
      </c>
      <c r="E16" s="6"/>
      <c r="F16" s="9">
        <v>43143</v>
      </c>
      <c r="G16" s="2" t="str">
        <f>IF(data[[#This Row],[tenure]], "full time", "part time")</f>
        <v>part time</v>
      </c>
      <c r="H16" s="2" t="str">
        <f>IF(data[[#This Row],[contract_type]], "permanent", "fixed-term")</f>
        <v>permanent</v>
      </c>
      <c r="I16" s="2" t="s">
        <v>10</v>
      </c>
    </row>
    <row r="17" spans="1:9">
      <c r="A17" s="2">
        <v>1475</v>
      </c>
      <c r="B17" s="2" t="s">
        <v>32</v>
      </c>
      <c r="C17" s="2" t="str">
        <f>IF(data[[#This Row],[gender]] = "M", "Male", "Female")</f>
        <v>Female</v>
      </c>
      <c r="D17" s="2" t="str">
        <f>UPPER(data[[#This Row],[department]])</f>
        <v>MARKETING</v>
      </c>
      <c r="E17" s="6">
        <v>4107502.35</v>
      </c>
      <c r="F17" s="9">
        <v>42293</v>
      </c>
      <c r="G17" s="2" t="str">
        <f>IF(data[[#This Row],[tenure]], "full time", "part time")</f>
        <v>full time</v>
      </c>
      <c r="H17" s="2" t="str">
        <f>IF(data[[#This Row],[contract_type]], "permanent", "fixed-term")</f>
        <v>fixed-term</v>
      </c>
      <c r="I17" s="2" t="s">
        <v>22</v>
      </c>
    </row>
    <row r="18" spans="1:9">
      <c r="A18" s="2">
        <v>1490</v>
      </c>
      <c r="B18" s="2" t="s">
        <v>33</v>
      </c>
      <c r="C18" s="2" t="str">
        <f>IF(data[[#This Row],[gender]] = "M", "Male", "Female")</f>
        <v>Male</v>
      </c>
      <c r="D18" s="2" t="str">
        <f>UPPER(data[[#This Row],[department]])</f>
        <v>SUPPORT</v>
      </c>
      <c r="E18" s="6">
        <v>4742467.2699999996</v>
      </c>
      <c r="F18" s="9">
        <v>41623</v>
      </c>
      <c r="G18" s="2" t="str">
        <f>IF(data[[#This Row],[tenure]], "full time", "part time")</f>
        <v>full time</v>
      </c>
      <c r="H18" s="2" t="str">
        <f>IF(data[[#This Row],[contract_type]], "permanent", "fixed-term")</f>
        <v>fixed-term</v>
      </c>
      <c r="I18" s="2" t="s">
        <v>20</v>
      </c>
    </row>
    <row r="19" spans="1:9">
      <c r="A19" s="2">
        <v>1496</v>
      </c>
      <c r="B19" s="2" t="s">
        <v>34</v>
      </c>
      <c r="C19" s="2" t="str">
        <f>IF(data[[#This Row],[gender]] = "M", "Male", "Female")</f>
        <v>Male</v>
      </c>
      <c r="D19" s="2" t="str">
        <f>UPPER(data[[#This Row],[department]])</f>
        <v>BUSINESS DEVELOPMENT</v>
      </c>
      <c r="E19" s="6">
        <v>2808107.37</v>
      </c>
      <c r="F19" s="9">
        <v>42591</v>
      </c>
      <c r="G19" s="2" t="str">
        <f>IF(data[[#This Row],[tenure]], "full time", "part time")</f>
        <v>full time</v>
      </c>
      <c r="H19" s="2" t="str">
        <f>IF(data[[#This Row],[contract_type]], "permanent", "fixed-term")</f>
        <v>fixed-term</v>
      </c>
      <c r="I19" s="2" t="s">
        <v>15</v>
      </c>
    </row>
    <row r="20" spans="1:9">
      <c r="A20" s="2">
        <v>1549</v>
      </c>
      <c r="B20" s="2" t="s">
        <v>35</v>
      </c>
      <c r="C20" s="2" t="str">
        <f>IF(data[[#This Row],[gender]] = "M", "Male", "Female")</f>
        <v>Male</v>
      </c>
      <c r="D20" s="2" t="str">
        <f>UPPER(data[[#This Row],[department]])</f>
        <v>SUPPORT</v>
      </c>
      <c r="E20" s="6">
        <v>2651870.7000000002</v>
      </c>
      <c r="F20" s="9">
        <v>44577</v>
      </c>
      <c r="G20" s="2" t="str">
        <f>IF(data[[#This Row],[tenure]], "full time", "part time")</f>
        <v>part time</v>
      </c>
      <c r="H20" s="2" t="str">
        <f>IF(data[[#This Row],[contract_type]], "permanent", "fixed-term")</f>
        <v>permanent</v>
      </c>
      <c r="I20" s="2" t="s">
        <v>20</v>
      </c>
    </row>
    <row r="21" spans="1:9">
      <c r="A21" s="2">
        <v>1552</v>
      </c>
      <c r="B21" s="2" t="s">
        <v>36</v>
      </c>
      <c r="C21" s="2" t="str">
        <f>IF(data[[#This Row],[gender]] = "M", "Male", "Female")</f>
        <v>Male</v>
      </c>
      <c r="D21" s="2" t="str">
        <f>UPPER(data[[#This Row],[department]])</f>
        <v>LEGAL</v>
      </c>
      <c r="E21" s="6">
        <v>4065740.81</v>
      </c>
      <c r="F21" s="9">
        <v>41575</v>
      </c>
      <c r="G21" s="2" t="str">
        <f>IF(data[[#This Row],[tenure]], "full time", "part time")</f>
        <v>full time</v>
      </c>
      <c r="H21" s="2" t="str">
        <f>IF(data[[#This Row],[contract_type]], "permanent", "fixed-term")</f>
        <v>permanent</v>
      </c>
      <c r="I21" s="2" t="s">
        <v>10</v>
      </c>
    </row>
    <row r="22" spans="1:9">
      <c r="A22" s="2">
        <v>1567</v>
      </c>
      <c r="B22" s="2" t="s">
        <v>37</v>
      </c>
      <c r="C22" s="2" t="str">
        <f>IF(data[[#This Row],[gender]] = "M", "Male", "Female")</f>
        <v>Female</v>
      </c>
      <c r="D22" s="2" t="str">
        <f>UPPER(data[[#This Row],[department]])</f>
        <v>MARKETING</v>
      </c>
      <c r="E22" s="6">
        <v>5046175.34</v>
      </c>
      <c r="F22" s="9">
        <v>44027</v>
      </c>
      <c r="G22" s="2" t="str">
        <f>IF(data[[#This Row],[tenure]], "full time", "part time")</f>
        <v>part time</v>
      </c>
      <c r="H22" s="2" t="str">
        <f>IF(data[[#This Row],[contract_type]], "permanent", "fixed-term")</f>
        <v>fixed-term</v>
      </c>
      <c r="I22" s="2" t="s">
        <v>27</v>
      </c>
    </row>
    <row r="23" spans="1:9">
      <c r="A23" s="2">
        <v>1578</v>
      </c>
      <c r="B23" s="2" t="s">
        <v>38</v>
      </c>
      <c r="C23" s="2" t="str">
        <f>IF(data[[#This Row],[gender]] = "M", "Male", "Female")</f>
        <v>Male</v>
      </c>
      <c r="D23" s="2" t="str">
        <f>UPPER(data[[#This Row],[department]])</f>
        <v>SERVICES</v>
      </c>
      <c r="E23" s="6">
        <v>2529947.11</v>
      </c>
      <c r="F23" s="9">
        <v>43605</v>
      </c>
      <c r="G23" s="2" t="str">
        <f>IF(data[[#This Row],[tenure]], "full time", "part time")</f>
        <v>part time</v>
      </c>
      <c r="H23" s="2" t="str">
        <f>IF(data[[#This Row],[contract_type]], "permanent", "fixed-term")</f>
        <v>fixed-term</v>
      </c>
      <c r="I23" s="2" t="s">
        <v>15</v>
      </c>
    </row>
    <row r="24" spans="1:9">
      <c r="A24" s="2">
        <v>1582</v>
      </c>
      <c r="B24" s="2" t="s">
        <v>39</v>
      </c>
      <c r="C24" s="2" t="str">
        <f>IF(data[[#This Row],[gender]] = "M", "Male", "Female")</f>
        <v>Female</v>
      </c>
      <c r="D24" s="2" t="str">
        <f>UPPER(data[[#This Row],[department]])</f>
        <v>BUSINESS DEVELOPMENT</v>
      </c>
      <c r="E24" s="6">
        <v>2522226.35</v>
      </c>
      <c r="F24" s="9">
        <v>43737</v>
      </c>
      <c r="G24" s="2" t="str">
        <f>IF(data[[#This Row],[tenure]], "full time", "part time")</f>
        <v>full time</v>
      </c>
      <c r="H24" s="2" t="str">
        <f>IF(data[[#This Row],[contract_type]], "permanent", "fixed-term")</f>
        <v>permanent</v>
      </c>
      <c r="I24" s="2" t="s">
        <v>18</v>
      </c>
    </row>
    <row r="25" spans="1:9">
      <c r="A25" s="2">
        <v>1616</v>
      </c>
      <c r="B25" s="2" t="s">
        <v>40</v>
      </c>
      <c r="C25" s="2" t="str">
        <f>IF(data[[#This Row],[gender]] = "M", "Male", "Female")</f>
        <v>Male</v>
      </c>
      <c r="D25" s="2" t="str">
        <f>UPPER(data[[#This Row],[department]])</f>
        <v>SUPPORT</v>
      </c>
      <c r="E25" s="6">
        <v>3438005.06</v>
      </c>
      <c r="F25" s="9">
        <v>44110</v>
      </c>
      <c r="G25" s="2" t="str">
        <f>IF(data[[#This Row],[tenure]], "full time", "part time")</f>
        <v>full time</v>
      </c>
      <c r="H25" s="2" t="str">
        <f>IF(data[[#This Row],[contract_type]], "permanent", "fixed-term")</f>
        <v>permanent</v>
      </c>
      <c r="I25" s="2" t="s">
        <v>27</v>
      </c>
    </row>
    <row r="26" spans="1:9">
      <c r="A26" s="2">
        <v>1639</v>
      </c>
      <c r="B26" s="2" t="s">
        <v>41</v>
      </c>
      <c r="C26" s="2" t="str">
        <f>IF(data[[#This Row],[gender]] = "M", "Male", "Female")</f>
        <v>Male</v>
      </c>
      <c r="D26" s="2" t="str">
        <f>UPPER(data[[#This Row],[department]])</f>
        <v>ACCOUNTING</v>
      </c>
      <c r="E26" s="6">
        <v>4840506.88</v>
      </c>
      <c r="F26" s="9">
        <v>43405</v>
      </c>
      <c r="G26" s="2" t="str">
        <f>IF(data[[#This Row],[tenure]], "full time", "part time")</f>
        <v>part time</v>
      </c>
      <c r="H26" s="2" t="str">
        <f>IF(data[[#This Row],[contract_type]], "permanent", "fixed-term")</f>
        <v>fixed-term</v>
      </c>
      <c r="I26" s="2" t="s">
        <v>12</v>
      </c>
    </row>
    <row r="27" spans="1:9">
      <c r="A27" s="2">
        <v>1746</v>
      </c>
      <c r="B27" s="2" t="s">
        <v>42</v>
      </c>
      <c r="C27" s="2" t="str">
        <f>IF(data[[#This Row],[gender]] = "M", "Male", "Female")</f>
        <v>Female</v>
      </c>
      <c r="D27" s="2" t="str">
        <f>UPPER(data[[#This Row],[department]])</f>
        <v>HUMAN RESOURCES</v>
      </c>
      <c r="E27" s="6">
        <v>2828591.95</v>
      </c>
      <c r="F27" s="9">
        <v>43360</v>
      </c>
      <c r="G27" s="2" t="str">
        <f>IF(data[[#This Row],[tenure]], "full time", "part time")</f>
        <v>part time</v>
      </c>
      <c r="H27" s="2" t="str">
        <f>IF(data[[#This Row],[contract_type]], "permanent", "fixed-term")</f>
        <v>permanent</v>
      </c>
      <c r="I27" s="2" t="s">
        <v>22</v>
      </c>
    </row>
    <row r="28" spans="1:9">
      <c r="A28" s="2">
        <v>1789</v>
      </c>
      <c r="B28" s="2" t="s">
        <v>43</v>
      </c>
      <c r="C28" s="2" t="str">
        <f>IF(data[[#This Row],[gender]] = "M", "Male", "Female")</f>
        <v>Male</v>
      </c>
      <c r="D28" s="2" t="str">
        <f>UPPER(data[[#This Row],[department]])</f>
        <v>LEGAL</v>
      </c>
      <c r="E28" s="6">
        <v>4784169.37</v>
      </c>
      <c r="F28" s="9">
        <v>44131</v>
      </c>
      <c r="G28" s="2" t="str">
        <f>IF(data[[#This Row],[tenure]], "full time", "part time")</f>
        <v>full time</v>
      </c>
      <c r="H28" s="2" t="str">
        <f>IF(data[[#This Row],[contract_type]], "permanent", "fixed-term")</f>
        <v>fixed-term</v>
      </c>
      <c r="I28" s="2" t="s">
        <v>15</v>
      </c>
    </row>
    <row r="29" spans="1:9">
      <c r="A29" s="2">
        <v>1794</v>
      </c>
      <c r="B29" s="2" t="s">
        <v>44</v>
      </c>
      <c r="C29" s="2" t="str">
        <f>IF(data[[#This Row],[gender]] = "M", "Male", "Female")</f>
        <v>Male</v>
      </c>
      <c r="D29" s="2" t="str">
        <f>UPPER(data[[#This Row],[department]])</f>
        <v>LEGAL</v>
      </c>
      <c r="E29" s="6">
        <v>4784169.37</v>
      </c>
      <c r="F29" s="9">
        <v>44131</v>
      </c>
      <c r="G29" s="2" t="str">
        <f>IF(data[[#This Row],[tenure]], "full time", "part time")</f>
        <v>full time</v>
      </c>
      <c r="H29" s="2" t="str">
        <f>IF(data[[#This Row],[contract_type]], "permanent", "fixed-term")</f>
        <v>fixed-term</v>
      </c>
      <c r="I29" s="2" t="s">
        <v>18</v>
      </c>
    </row>
    <row r="30" spans="1:9">
      <c r="A30" s="2">
        <v>1849</v>
      </c>
      <c r="B30" s="2" t="s">
        <v>45</v>
      </c>
      <c r="C30" s="2" t="str">
        <f>IF(data[[#This Row],[gender]] = "M", "Male", "Female")</f>
        <v>Female</v>
      </c>
      <c r="D30" s="2" t="str">
        <f>UPPER(data[[#This Row],[department]])</f>
        <v>ENGINEERING</v>
      </c>
      <c r="E30" s="6">
        <v>3370868.02</v>
      </c>
      <c r="F30" s="9">
        <v>42242</v>
      </c>
      <c r="G30" s="2" t="str">
        <f>IF(data[[#This Row],[tenure]], "full time", "part time")</f>
        <v>part time</v>
      </c>
      <c r="H30" s="2" t="str">
        <f>IF(data[[#This Row],[contract_type]], "permanent", "fixed-term")</f>
        <v>permanent</v>
      </c>
      <c r="I30" s="2" t="s">
        <v>12</v>
      </c>
    </row>
    <row r="31" spans="1:9">
      <c r="A31" s="2">
        <v>1925</v>
      </c>
      <c r="B31" s="2" t="s">
        <v>46</v>
      </c>
      <c r="C31" s="2" t="str">
        <f>IF(data[[#This Row],[gender]] = "M", "Male", "Female")</f>
        <v>Female</v>
      </c>
      <c r="D31" s="2" t="str">
        <f>UPPER(data[[#This Row],[department]])</f>
        <v>RESEARCH AND DEVELOPMENT</v>
      </c>
      <c r="E31" s="6">
        <v>3521147.58</v>
      </c>
      <c r="F31" s="9">
        <v>44428</v>
      </c>
      <c r="G31" s="2" t="str">
        <f>IF(data[[#This Row],[tenure]], "full time", "part time")</f>
        <v>part time</v>
      </c>
      <c r="H31" s="2" t="str">
        <f>IF(data[[#This Row],[contract_type]], "permanent", "fixed-term")</f>
        <v>fixed-term</v>
      </c>
      <c r="I31" s="2" t="s">
        <v>22</v>
      </c>
    </row>
    <row r="32" spans="1:9">
      <c r="A32" s="2">
        <v>1938</v>
      </c>
      <c r="B32" s="2" t="s">
        <v>47</v>
      </c>
      <c r="C32" s="2" t="str">
        <f>IF(data[[#This Row],[gender]] = "M", "Male", "Female")</f>
        <v>Female</v>
      </c>
      <c r="D32" s="2" t="str">
        <f>UPPER(data[[#This Row],[department]])</f>
        <v>SERVICES</v>
      </c>
      <c r="E32" s="6">
        <v>1849120.99</v>
      </c>
      <c r="F32" s="9">
        <v>43335</v>
      </c>
      <c r="G32" s="2" t="str">
        <f>IF(data[[#This Row],[tenure]], "full time", "part time")</f>
        <v>full time</v>
      </c>
      <c r="H32" s="2" t="str">
        <f>IF(data[[#This Row],[contract_type]], "permanent", "fixed-term")</f>
        <v>fixed-term</v>
      </c>
      <c r="I32" s="2" t="s">
        <v>15</v>
      </c>
    </row>
    <row r="33" spans="1:9">
      <c r="A33" s="2">
        <v>1943</v>
      </c>
      <c r="B33" s="2" t="s">
        <v>48</v>
      </c>
      <c r="C33" s="2" t="str">
        <f>IF(data[[#This Row],[gender]] = "M", "Male", "Female")</f>
        <v>Female</v>
      </c>
      <c r="D33" s="2" t="str">
        <f>UPPER(data[[#This Row],[department]])</f>
        <v>SERVICES</v>
      </c>
      <c r="E33" s="6">
        <v>1849120.99</v>
      </c>
      <c r="F33" s="9">
        <v>43335</v>
      </c>
      <c r="G33" s="2" t="str">
        <f>IF(data[[#This Row],[tenure]], "full time", "part time")</f>
        <v>full time</v>
      </c>
      <c r="H33" s="2" t="str">
        <f>IF(data[[#This Row],[contract_type]], "permanent", "fixed-term")</f>
        <v>fixed-term</v>
      </c>
      <c r="I33" s="2" t="s">
        <v>10</v>
      </c>
    </row>
    <row r="34" spans="1:9">
      <c r="A34" s="2">
        <v>1957</v>
      </c>
      <c r="B34" s="2" t="s">
        <v>49</v>
      </c>
      <c r="C34" s="2" t="str">
        <f>IF(data[[#This Row],[gender]] = "M", "Male", "Female")</f>
        <v>Male</v>
      </c>
      <c r="D34" s="2" t="str">
        <f>UPPER(data[[#This Row],[department]])</f>
        <v>ENGINEERING</v>
      </c>
      <c r="E34" s="6">
        <v>3408155.28</v>
      </c>
      <c r="F34" s="9">
        <v>42274</v>
      </c>
      <c r="G34" s="2" t="str">
        <f>IF(data[[#This Row],[tenure]], "full time", "part time")</f>
        <v>part time</v>
      </c>
      <c r="H34" s="2" t="str">
        <f>IF(data[[#This Row],[contract_type]], "permanent", "fixed-term")</f>
        <v>permanent</v>
      </c>
      <c r="I34" s="2" t="s">
        <v>24</v>
      </c>
    </row>
    <row r="35" spans="1:9">
      <c r="A35" s="2">
        <v>2059</v>
      </c>
      <c r="B35" s="2" t="s">
        <v>50</v>
      </c>
      <c r="C35" s="2" t="str">
        <f>IF(data[[#This Row],[gender]] = "M", "Male", "Female")</f>
        <v>Male</v>
      </c>
      <c r="D35" s="2" t="str">
        <f>UPPER(data[[#This Row],[department]])</f>
        <v>ENGINEERING</v>
      </c>
      <c r="E35" s="6">
        <v>3408155.28</v>
      </c>
      <c r="F35" s="9">
        <v>42274</v>
      </c>
      <c r="G35" s="2" t="str">
        <f>IF(data[[#This Row],[tenure]], "full time", "part time")</f>
        <v>part time</v>
      </c>
      <c r="H35" s="2" t="str">
        <f>IF(data[[#This Row],[contract_type]], "permanent", "fixed-term")</f>
        <v>permanent</v>
      </c>
      <c r="I35" s="2" t="s">
        <v>10</v>
      </c>
    </row>
    <row r="36" spans="1:9">
      <c r="A36" s="2">
        <v>2073</v>
      </c>
      <c r="B36" s="2" t="s">
        <v>51</v>
      </c>
      <c r="C36" s="2" t="str">
        <f>IF(data[[#This Row],[gender]] = "M", "Male", "Female")</f>
        <v>Male</v>
      </c>
      <c r="D36" s="2" t="str">
        <f>UPPER(data[[#This Row],[department]])</f>
        <v>RESEARCH AND DEVELOPMENT</v>
      </c>
      <c r="E36" s="6">
        <v>3716559.55</v>
      </c>
      <c r="F36" s="9">
        <v>42431</v>
      </c>
      <c r="G36" s="2" t="str">
        <f>IF(data[[#This Row],[tenure]], "full time", "part time")</f>
        <v>part time</v>
      </c>
      <c r="H36" s="2" t="str">
        <f>IF(data[[#This Row],[contract_type]], "permanent", "fixed-term")</f>
        <v>permanent</v>
      </c>
      <c r="I36" s="2" t="s">
        <v>10</v>
      </c>
    </row>
    <row r="37" spans="1:9">
      <c r="A37" s="2">
        <v>2078</v>
      </c>
      <c r="B37" s="2" t="s">
        <v>52</v>
      </c>
      <c r="C37" s="2" t="str">
        <f>IF(data[[#This Row],[gender]] = "M", "Male", "Female")</f>
        <v>Male</v>
      </c>
      <c r="D37" s="2" t="str">
        <f>UPPER(data[[#This Row],[department]])</f>
        <v>PRODUCT MANAGEMENT</v>
      </c>
      <c r="E37" s="6">
        <v>2749593.05</v>
      </c>
      <c r="F37" s="9">
        <v>44066</v>
      </c>
      <c r="G37" s="2" t="str">
        <f>IF(data[[#This Row],[tenure]], "full time", "part time")</f>
        <v>full time</v>
      </c>
      <c r="H37" s="2" t="str">
        <f>IF(data[[#This Row],[contract_type]], "permanent", "fixed-term")</f>
        <v>permanent</v>
      </c>
      <c r="I37" s="2" t="s">
        <v>20</v>
      </c>
    </row>
    <row r="38" spans="1:9">
      <c r="A38" s="2">
        <v>2090</v>
      </c>
      <c r="B38" s="2" t="s">
        <v>53</v>
      </c>
      <c r="C38" s="2" t="str">
        <f>IF(data[[#This Row],[gender]] = "M", "Male", "Female")</f>
        <v>Female</v>
      </c>
      <c r="D38" s="2" t="str">
        <f>UPPER(data[[#This Row],[department]])</f>
        <v>ACCOUNTING</v>
      </c>
      <c r="E38" s="6">
        <v>2160915.31</v>
      </c>
      <c r="F38" s="9">
        <v>43830</v>
      </c>
      <c r="G38" s="2" t="str">
        <f>IF(data[[#This Row],[tenure]], "full time", "part time")</f>
        <v>part time</v>
      </c>
      <c r="H38" s="2" t="str">
        <f>IF(data[[#This Row],[contract_type]], "permanent", "fixed-term")</f>
        <v>permanent</v>
      </c>
      <c r="I38" s="2" t="s">
        <v>12</v>
      </c>
    </row>
    <row r="39" spans="1:9">
      <c r="A39" s="2">
        <v>2149</v>
      </c>
      <c r="B39" s="2" t="s">
        <v>54</v>
      </c>
      <c r="C39" s="2" t="str">
        <f>IF(data[[#This Row],[gender]] = "M", "Male", "Female")</f>
        <v>Male</v>
      </c>
      <c r="D39" s="2" t="str">
        <f>UPPER(data[[#This Row],[department]])</f>
        <v>BUSINESS DEVELOPMENT</v>
      </c>
      <c r="E39" s="6">
        <v>1856124.46</v>
      </c>
      <c r="F39" s="9">
        <v>42990</v>
      </c>
      <c r="G39" s="2" t="str">
        <f>IF(data[[#This Row],[tenure]], "full time", "part time")</f>
        <v>full time</v>
      </c>
      <c r="H39" s="2" t="str">
        <f>IF(data[[#This Row],[contract_type]], "permanent", "fixed-term")</f>
        <v>permanent</v>
      </c>
      <c r="I39" s="2" t="s">
        <v>15</v>
      </c>
    </row>
    <row r="40" spans="1:9">
      <c r="A40" s="2">
        <v>2149</v>
      </c>
      <c r="B40" s="2" t="s">
        <v>55</v>
      </c>
      <c r="C40" s="2" t="str">
        <f>IF(data[[#This Row],[gender]] = "M", "Male", "Female")</f>
        <v>Male</v>
      </c>
      <c r="D40" s="2" t="str">
        <f>UPPER(data[[#This Row],[department]])</f>
        <v>RESEARCH AND DEVELOPMENT</v>
      </c>
      <c r="E40" s="6">
        <v>3425774.28</v>
      </c>
      <c r="F40" s="9">
        <v>43473</v>
      </c>
      <c r="G40" s="2" t="str">
        <f>IF(data[[#This Row],[tenure]], "full time", "part time")</f>
        <v>full time</v>
      </c>
      <c r="H40" s="2" t="str">
        <f>IF(data[[#This Row],[contract_type]], "permanent", "fixed-term")</f>
        <v>fixed-term</v>
      </c>
      <c r="I40" s="2" t="s">
        <v>24</v>
      </c>
    </row>
    <row r="41" spans="1:9">
      <c r="A41" s="2">
        <v>2152</v>
      </c>
      <c r="B41" s="2" t="s">
        <v>56</v>
      </c>
      <c r="C41" s="2" t="str">
        <f>IF(data[[#This Row],[gender]] = "M", "Male", "Female")</f>
        <v>Male</v>
      </c>
      <c r="D41" s="2" t="str">
        <f>UPPER(data[[#This Row],[department]])</f>
        <v>SERVICES</v>
      </c>
      <c r="E41" s="6">
        <v>3323893.92</v>
      </c>
      <c r="F41" s="9">
        <v>43292</v>
      </c>
      <c r="G41" s="2" t="str">
        <f>IF(data[[#This Row],[tenure]], "full time", "part time")</f>
        <v>part time</v>
      </c>
      <c r="H41" s="2" t="str">
        <f>IF(data[[#This Row],[contract_type]], "permanent", "fixed-term")</f>
        <v>permanent</v>
      </c>
      <c r="I41" s="2" t="s">
        <v>15</v>
      </c>
    </row>
    <row r="42" spans="1:9">
      <c r="A42" s="2">
        <v>2187</v>
      </c>
      <c r="B42" s="2" t="s">
        <v>57</v>
      </c>
      <c r="C42" s="2" t="str">
        <f>IF(data[[#This Row],[gender]] = "M", "Male", "Female")</f>
        <v>Female</v>
      </c>
      <c r="D42" s="2" t="str">
        <f>UPPER(data[[#This Row],[department]])</f>
        <v>HUMAN RESOURCES</v>
      </c>
      <c r="E42" s="6">
        <v>2118243.19</v>
      </c>
      <c r="F42" s="9">
        <v>40815</v>
      </c>
      <c r="G42" s="2" t="str">
        <f>IF(data[[#This Row],[tenure]], "full time", "part time")</f>
        <v>full time</v>
      </c>
      <c r="H42" s="2" t="str">
        <f>IF(data[[#This Row],[contract_type]], "permanent", "fixed-term")</f>
        <v>permanent</v>
      </c>
      <c r="I42" s="2" t="s">
        <v>10</v>
      </c>
    </row>
    <row r="43" spans="1:9">
      <c r="A43" s="2">
        <v>2189</v>
      </c>
      <c r="B43" s="2" t="s">
        <v>58</v>
      </c>
      <c r="C43" s="2" t="str">
        <f>IF(data[[#This Row],[gender]] = "M", "Male", "Female")</f>
        <v>Male</v>
      </c>
      <c r="D43" s="2" t="str">
        <f>UPPER(data[[#This Row],[department]])</f>
        <v>PRODUCT MANAGEMENT</v>
      </c>
      <c r="E43" s="6">
        <v>3401568.66</v>
      </c>
      <c r="F43" s="9">
        <v>40818</v>
      </c>
      <c r="G43" s="2" t="str">
        <f>IF(data[[#This Row],[tenure]], "full time", "part time")</f>
        <v>full time</v>
      </c>
      <c r="H43" s="2" t="str">
        <f>IF(data[[#This Row],[contract_type]], "permanent", "fixed-term")</f>
        <v>fixed-term</v>
      </c>
      <c r="I43" s="2" t="s">
        <v>18</v>
      </c>
    </row>
    <row r="44" spans="1:9">
      <c r="A44" s="2">
        <v>2189</v>
      </c>
      <c r="B44" s="2" t="s">
        <v>59</v>
      </c>
      <c r="C44" s="2" t="str">
        <f>IF(data[[#This Row],[gender]] = "M", "Male", "Female")</f>
        <v>Male</v>
      </c>
      <c r="D44" s="2" t="str">
        <f>UPPER(data[[#This Row],[department]])</f>
        <v>RESEARCH AND DEVELOPMENT</v>
      </c>
      <c r="E44" s="6">
        <v>3510688.25</v>
      </c>
      <c r="F44" s="9">
        <v>41064</v>
      </c>
      <c r="G44" s="2" t="str">
        <f>IF(data[[#This Row],[tenure]], "full time", "part time")</f>
        <v>part time</v>
      </c>
      <c r="H44" s="2" t="str">
        <f>IF(data[[#This Row],[contract_type]], "permanent", "fixed-term")</f>
        <v>permanent</v>
      </c>
      <c r="I44" s="2" t="s">
        <v>20</v>
      </c>
    </row>
    <row r="45" spans="1:9">
      <c r="A45" s="2">
        <v>2327</v>
      </c>
      <c r="B45" s="2" t="s">
        <v>60</v>
      </c>
      <c r="C45" s="2" t="str">
        <f>IF(data[[#This Row],[gender]] = "M", "Male", "Female")</f>
        <v>Male</v>
      </c>
      <c r="D45" s="2" t="str">
        <f>UPPER(data[[#This Row],[department]])</f>
        <v>BUSINESS DEVELOPMENT</v>
      </c>
      <c r="E45" s="6">
        <v>4240644.07</v>
      </c>
      <c r="F45" s="9">
        <v>40762</v>
      </c>
      <c r="G45" s="2" t="str">
        <f>IF(data[[#This Row],[tenure]], "full time", "part time")</f>
        <v>full time</v>
      </c>
      <c r="H45" s="2" t="str">
        <f>IF(data[[#This Row],[contract_type]], "permanent", "fixed-term")</f>
        <v>permanent</v>
      </c>
      <c r="I45" s="2" t="s">
        <v>10</v>
      </c>
    </row>
    <row r="46" spans="1:9">
      <c r="A46" s="2">
        <v>2376</v>
      </c>
      <c r="B46" s="2" t="s">
        <v>61</v>
      </c>
      <c r="C46" s="2" t="str">
        <f>IF(data[[#This Row],[gender]] = "M", "Male", "Female")</f>
        <v>Female</v>
      </c>
      <c r="D46" s="2" t="str">
        <f>UPPER(data[[#This Row],[department]])</f>
        <v>SERVICES</v>
      </c>
      <c r="E46" s="6">
        <v>3298104.81</v>
      </c>
      <c r="F46" s="9">
        <v>44098</v>
      </c>
      <c r="G46" s="2" t="str">
        <f>IF(data[[#This Row],[tenure]], "full time", "part time")</f>
        <v>full time</v>
      </c>
      <c r="H46" s="2" t="str">
        <f>IF(data[[#This Row],[contract_type]], "permanent", "fixed-term")</f>
        <v>permanent</v>
      </c>
      <c r="I46" s="2" t="s">
        <v>62</v>
      </c>
    </row>
    <row r="47" spans="1:9">
      <c r="A47" s="2">
        <v>2376</v>
      </c>
      <c r="B47" s="2" t="s">
        <v>63</v>
      </c>
      <c r="C47" s="2" t="str">
        <f>IF(data[[#This Row],[gender]] = "M", "Male", "Female")</f>
        <v>Male</v>
      </c>
      <c r="D47" s="2" t="str">
        <f>UPPER(data[[#This Row],[department]])</f>
        <v>HUMAN RESOURCES</v>
      </c>
      <c r="E47" s="6">
        <v>3573985.37</v>
      </c>
      <c r="F47" s="9">
        <v>42338</v>
      </c>
      <c r="G47" s="2" t="str">
        <f>IF(data[[#This Row],[tenure]], "full time", "part time")</f>
        <v>part time</v>
      </c>
      <c r="H47" s="2" t="str">
        <f>IF(data[[#This Row],[contract_type]], "permanent", "fixed-term")</f>
        <v>permanent</v>
      </c>
      <c r="I47" s="2" t="s">
        <v>10</v>
      </c>
    </row>
    <row r="48" spans="1:9">
      <c r="A48" s="2">
        <v>2382</v>
      </c>
      <c r="B48" s="2" t="s">
        <v>64</v>
      </c>
      <c r="C48" s="2" t="str">
        <f>IF(data[[#This Row],[gender]] = "M", "Male", "Female")</f>
        <v>Male</v>
      </c>
      <c r="D48" s="2" t="str">
        <f>UPPER(data[[#This Row],[department]])</f>
        <v>RESEARCH AND DEVELOPMENT</v>
      </c>
      <c r="E48" s="6">
        <v>5035442.3499999996</v>
      </c>
      <c r="F48" s="9">
        <v>41552</v>
      </c>
      <c r="G48" s="2" t="str">
        <f>IF(data[[#This Row],[tenure]], "full time", "part time")</f>
        <v>part time</v>
      </c>
      <c r="H48" s="2" t="str">
        <f>IF(data[[#This Row],[contract_type]], "permanent", "fixed-term")</f>
        <v>permanent</v>
      </c>
      <c r="I48" s="2" t="s">
        <v>27</v>
      </c>
    </row>
    <row r="49" spans="1:9">
      <c r="A49" s="2">
        <v>2402</v>
      </c>
      <c r="B49" s="2" t="s">
        <v>65</v>
      </c>
      <c r="C49" s="2" t="str">
        <f>IF(data[[#This Row],[gender]] = "M", "Male", "Female")</f>
        <v>Female</v>
      </c>
      <c r="D49" s="2" t="str">
        <f>UPPER(data[[#This Row],[department]])</f>
        <v>LEGAL</v>
      </c>
      <c r="E49" s="6">
        <v>4815552.0199999996</v>
      </c>
      <c r="F49" s="9">
        <v>44529</v>
      </c>
      <c r="G49" s="2" t="str">
        <f>IF(data[[#This Row],[tenure]], "full time", "part time")</f>
        <v>part time</v>
      </c>
      <c r="H49" s="2" t="str">
        <f>IF(data[[#This Row],[contract_type]], "permanent", "fixed-term")</f>
        <v>permanent</v>
      </c>
      <c r="I49" s="2" t="s">
        <v>12</v>
      </c>
    </row>
    <row r="50" spans="1:9">
      <c r="A50" s="2">
        <v>2432</v>
      </c>
      <c r="B50" s="2" t="s">
        <v>66</v>
      </c>
      <c r="C50" s="2" t="str">
        <f>IF(data[[#This Row],[gender]] = "M", "Male", "Female")</f>
        <v>Male</v>
      </c>
      <c r="D50" s="2" t="str">
        <f>UPPER(data[[#This Row],[department]])</f>
        <v>RESEARCH AND DEVELOPMENT</v>
      </c>
      <c r="E50" s="6">
        <v>5091098.5199999996</v>
      </c>
      <c r="F50" s="9">
        <v>42818</v>
      </c>
      <c r="G50" s="2" t="str">
        <f>IF(data[[#This Row],[tenure]], "full time", "part time")</f>
        <v>part time</v>
      </c>
      <c r="H50" s="2" t="str">
        <f>IF(data[[#This Row],[contract_type]], "permanent", "fixed-term")</f>
        <v>permanent</v>
      </c>
      <c r="I50" s="2" t="s">
        <v>22</v>
      </c>
    </row>
    <row r="51" spans="1:9">
      <c r="A51" s="2">
        <v>2432</v>
      </c>
      <c r="B51" s="2" t="s">
        <v>67</v>
      </c>
      <c r="C51" s="2" t="str">
        <f>IF(data[[#This Row],[gender]] = "M", "Male", "Female")</f>
        <v>Male</v>
      </c>
      <c r="D51" s="2" t="str">
        <f>UPPER(data[[#This Row],[department]])</f>
        <v>PRODUCT MANAGEMENT</v>
      </c>
      <c r="E51" s="6">
        <v>2564885.71</v>
      </c>
      <c r="F51" s="9">
        <v>43625</v>
      </c>
      <c r="G51" s="2" t="str">
        <f>IF(data[[#This Row],[tenure]], "full time", "part time")</f>
        <v>full time</v>
      </c>
      <c r="H51" s="2" t="str">
        <f>IF(data[[#This Row],[contract_type]], "permanent", "fixed-term")</f>
        <v>fixed-term</v>
      </c>
      <c r="I51" s="2" t="s">
        <v>10</v>
      </c>
    </row>
    <row r="52" spans="1:9">
      <c r="A52" s="2">
        <v>2434</v>
      </c>
      <c r="B52" s="2" t="s">
        <v>68</v>
      </c>
      <c r="C52" s="2" t="str">
        <f>IF(data[[#This Row],[gender]] = "M", "Male", "Female")</f>
        <v>Female</v>
      </c>
      <c r="D52" s="2" t="str">
        <f>UPPER(data[[#This Row],[department]])</f>
        <v>SERVICES</v>
      </c>
      <c r="E52" s="6">
        <v>5018242.1100000003</v>
      </c>
      <c r="F52" s="9">
        <v>43464</v>
      </c>
      <c r="G52" s="2" t="str">
        <f>IF(data[[#This Row],[tenure]], "full time", "part time")</f>
        <v>part time</v>
      </c>
      <c r="H52" s="2" t="str">
        <f>IF(data[[#This Row],[contract_type]], "permanent", "fixed-term")</f>
        <v>permanent</v>
      </c>
      <c r="I52" s="2" t="s">
        <v>10</v>
      </c>
    </row>
    <row r="53" spans="1:9">
      <c r="A53" s="2">
        <v>2494</v>
      </c>
      <c r="B53" s="2" t="s">
        <v>69</v>
      </c>
      <c r="C53" s="2" t="str">
        <f>IF(data[[#This Row],[gender]] = "M", "Male", "Female")</f>
        <v>Female</v>
      </c>
      <c r="D53" s="2" t="str">
        <f>UPPER(data[[#This Row],[department]])</f>
        <v>ACCOUNTING</v>
      </c>
      <c r="E53" s="6">
        <v>5165921.3899999997</v>
      </c>
      <c r="F53" s="9">
        <v>42585</v>
      </c>
      <c r="G53" s="2" t="str">
        <f>IF(data[[#This Row],[tenure]], "full time", "part time")</f>
        <v>part time</v>
      </c>
      <c r="H53" s="2" t="str">
        <f>IF(data[[#This Row],[contract_type]], "permanent", "fixed-term")</f>
        <v>fixed-term</v>
      </c>
      <c r="I53" s="2" t="s">
        <v>62</v>
      </c>
    </row>
    <row r="54" spans="1:9">
      <c r="A54" s="2">
        <v>2511</v>
      </c>
      <c r="B54" s="2" t="s">
        <v>70</v>
      </c>
      <c r="C54" s="2" t="str">
        <f>IF(data[[#This Row],[gender]] = "M", "Male", "Female")</f>
        <v>Male</v>
      </c>
      <c r="D54" s="2" t="str">
        <f>UPPER(data[[#This Row],[department]])</f>
        <v>LEGAL</v>
      </c>
      <c r="E54" s="6">
        <v>1981906.19</v>
      </c>
      <c r="F54" s="9">
        <v>41371</v>
      </c>
      <c r="G54" s="2" t="str">
        <f>IF(data[[#This Row],[tenure]], "full time", "part time")</f>
        <v>part time</v>
      </c>
      <c r="H54" s="2" t="str">
        <f>IF(data[[#This Row],[contract_type]], "permanent", "fixed-term")</f>
        <v>fixed-term</v>
      </c>
      <c r="I54" s="2" t="s">
        <v>18</v>
      </c>
    </row>
    <row r="55" spans="1:9">
      <c r="A55" s="2">
        <v>2632</v>
      </c>
      <c r="B55" s="2" t="s">
        <v>71</v>
      </c>
      <c r="C55" s="2" t="str">
        <f>IF(data[[#This Row],[gender]] = "M", "Male", "Female")</f>
        <v>Male</v>
      </c>
      <c r="D55" s="2" t="str">
        <f>UPPER(data[[#This Row],[department]])</f>
        <v>ACCOUNTING</v>
      </c>
      <c r="E55" s="6">
        <v>4150662.9</v>
      </c>
      <c r="F55" s="9">
        <v>41663</v>
      </c>
      <c r="G55" s="2" t="str">
        <f>IF(data[[#This Row],[tenure]], "full time", "part time")</f>
        <v>part time</v>
      </c>
      <c r="H55" s="2" t="str">
        <f>IF(data[[#This Row],[contract_type]], "permanent", "fixed-term")</f>
        <v>fixed-term</v>
      </c>
      <c r="I55" s="2" t="s">
        <v>18</v>
      </c>
    </row>
    <row r="56" spans="1:9">
      <c r="A56" s="2">
        <v>2651</v>
      </c>
      <c r="B56" s="2" t="s">
        <v>72</v>
      </c>
      <c r="C56" s="2" t="str">
        <f>IF(data[[#This Row],[gender]] = "M", "Male", "Female")</f>
        <v>Female</v>
      </c>
      <c r="D56" s="2" t="str">
        <f>UPPER(data[[#This Row],[department]])</f>
        <v>SERVICES</v>
      </c>
      <c r="E56" s="6">
        <v>2776175.25</v>
      </c>
      <c r="F56" s="9">
        <v>42506</v>
      </c>
      <c r="G56" s="2" t="str">
        <f>IF(data[[#This Row],[tenure]], "full time", "part time")</f>
        <v>part time</v>
      </c>
      <c r="H56" s="2" t="str">
        <f>IF(data[[#This Row],[contract_type]], "permanent", "fixed-term")</f>
        <v>permanent</v>
      </c>
      <c r="I56" s="2" t="s">
        <v>18</v>
      </c>
    </row>
    <row r="57" spans="1:9">
      <c r="A57" s="2">
        <v>2710</v>
      </c>
      <c r="B57" s="2" t="s">
        <v>73</v>
      </c>
      <c r="C57" s="2" t="str">
        <f>IF(data[[#This Row],[gender]] = "M", "Male", "Female")</f>
        <v>Female</v>
      </c>
      <c r="D57" s="2" t="str">
        <f>UPPER(data[[#This Row],[department]])</f>
        <v>TRAINING</v>
      </c>
      <c r="E57" s="6">
        <v>2083385.54</v>
      </c>
      <c r="F57" s="9">
        <v>42071</v>
      </c>
      <c r="G57" s="2" t="str">
        <f>IF(data[[#This Row],[tenure]], "full time", "part time")</f>
        <v>part time</v>
      </c>
      <c r="H57" s="2" t="str">
        <f>IF(data[[#This Row],[contract_type]], "permanent", "fixed-term")</f>
        <v>permanent</v>
      </c>
      <c r="I57" s="2" t="s">
        <v>62</v>
      </c>
    </row>
    <row r="58" spans="1:9">
      <c r="A58" s="2">
        <v>2754</v>
      </c>
      <c r="B58" s="2" t="s">
        <v>74</v>
      </c>
      <c r="C58" s="2" t="str">
        <f>IF(data[[#This Row],[gender]] = "M", "Male", "Female")</f>
        <v>Female</v>
      </c>
      <c r="D58" s="2" t="str">
        <f>UPPER(data[[#This Row],[department]])</f>
        <v>ENGINEERING</v>
      </c>
      <c r="E58" s="6">
        <v>4889972.6399999997</v>
      </c>
      <c r="F58" s="9">
        <v>42796</v>
      </c>
      <c r="G58" s="2" t="str">
        <f>IF(data[[#This Row],[tenure]], "full time", "part time")</f>
        <v>full time</v>
      </c>
      <c r="H58" s="2" t="str">
        <f>IF(data[[#This Row],[contract_type]], "permanent", "fixed-term")</f>
        <v>fixed-term</v>
      </c>
      <c r="I58" s="2" t="s">
        <v>27</v>
      </c>
    </row>
    <row r="59" spans="1:9">
      <c r="A59" s="2">
        <v>2759</v>
      </c>
      <c r="B59" s="2" t="s">
        <v>75</v>
      </c>
      <c r="C59" s="2" t="str">
        <f>IF(data[[#This Row],[gender]] = "M", "Male", "Female")</f>
        <v>Female</v>
      </c>
      <c r="D59" s="2" t="str">
        <f>UPPER(data[[#This Row],[department]])</f>
        <v>LEGAL</v>
      </c>
      <c r="E59" s="6">
        <v>2611498.9500000002</v>
      </c>
      <c r="F59" s="9">
        <v>42802</v>
      </c>
      <c r="G59" s="2" t="str">
        <f>IF(data[[#This Row],[tenure]], "full time", "part time")</f>
        <v>part time</v>
      </c>
      <c r="H59" s="2" t="str">
        <f>IF(data[[#This Row],[contract_type]], "permanent", "fixed-term")</f>
        <v>permanent</v>
      </c>
      <c r="I59" s="2" t="s">
        <v>20</v>
      </c>
    </row>
    <row r="60" spans="1:9">
      <c r="A60" s="2">
        <v>2824</v>
      </c>
      <c r="B60" s="2" t="s">
        <v>76</v>
      </c>
      <c r="C60" s="2" t="str">
        <f>IF(data[[#This Row],[gender]] = "M", "Male", "Female")</f>
        <v>Male</v>
      </c>
      <c r="D60" s="2" t="str">
        <f>UPPER(data[[#This Row],[department]])</f>
        <v>HUMAN RESOURCES</v>
      </c>
      <c r="E60" s="6">
        <v>2421244.2400000002</v>
      </c>
      <c r="F60" s="9">
        <v>43986</v>
      </c>
      <c r="G60" s="2" t="str">
        <f>IF(data[[#This Row],[tenure]], "full time", "part time")</f>
        <v>full time</v>
      </c>
      <c r="H60" s="2" t="str">
        <f>IF(data[[#This Row],[contract_type]], "permanent", "fixed-term")</f>
        <v>fixed-term</v>
      </c>
      <c r="I60" s="2" t="s">
        <v>12</v>
      </c>
    </row>
    <row r="61" spans="1:9">
      <c r="A61" s="2">
        <v>2854</v>
      </c>
      <c r="B61" s="2" t="s">
        <v>77</v>
      </c>
      <c r="C61" s="2" t="str">
        <f>IF(data[[#This Row],[gender]] = "M", "Male", "Female")</f>
        <v>Male</v>
      </c>
      <c r="D61" s="2" t="str">
        <f>UPPER(data[[#This Row],[department]])</f>
        <v>LEGAL</v>
      </c>
      <c r="E61" s="6">
        <v>4968507.26</v>
      </c>
      <c r="F61" s="9">
        <v>43812</v>
      </c>
      <c r="G61" s="2" t="str">
        <f>IF(data[[#This Row],[tenure]], "full time", "part time")</f>
        <v>full time</v>
      </c>
      <c r="H61" s="2" t="str">
        <f>IF(data[[#This Row],[contract_type]], "permanent", "fixed-term")</f>
        <v>permanent</v>
      </c>
      <c r="I61" s="2" t="s">
        <v>15</v>
      </c>
    </row>
    <row r="62" spans="1:9">
      <c r="A62" s="2">
        <v>2854</v>
      </c>
      <c r="B62" s="2" t="s">
        <v>78</v>
      </c>
      <c r="C62" s="2" t="str">
        <f>IF(data[[#This Row],[gender]] = "M", "Male", "Female")</f>
        <v>Male</v>
      </c>
      <c r="D62" s="2" t="str">
        <f>UPPER(data[[#This Row],[department]])</f>
        <v>SERVICES</v>
      </c>
      <c r="E62" s="6">
        <v>4958393.4400000004</v>
      </c>
      <c r="F62" s="9">
        <v>44901</v>
      </c>
      <c r="G62" s="2" t="str">
        <f>IF(data[[#This Row],[tenure]], "full time", "part time")</f>
        <v>part time</v>
      </c>
      <c r="H62" s="2" t="str">
        <f>IF(data[[#This Row],[contract_type]], "permanent", "fixed-term")</f>
        <v>permanent</v>
      </c>
      <c r="I62" s="2" t="s">
        <v>15</v>
      </c>
    </row>
    <row r="63" spans="1:9">
      <c r="A63" s="2">
        <v>2915</v>
      </c>
      <c r="B63" s="2" t="s">
        <v>79</v>
      </c>
      <c r="C63" s="2" t="str">
        <f>IF(data[[#This Row],[gender]] = "M", "Male", "Female")</f>
        <v>Male</v>
      </c>
      <c r="D63" s="2" t="str">
        <f>UPPER(data[[#This Row],[department]])</f>
        <v>TRAINING</v>
      </c>
      <c r="E63" s="6">
        <v>3601189.19</v>
      </c>
      <c r="F63" s="9">
        <v>43108</v>
      </c>
      <c r="G63" s="2" t="str">
        <f>IF(data[[#This Row],[tenure]], "full time", "part time")</f>
        <v>full time</v>
      </c>
      <c r="H63" s="2" t="str">
        <f>IF(data[[#This Row],[contract_type]], "permanent", "fixed-term")</f>
        <v>permanent</v>
      </c>
      <c r="I63" s="2" t="s">
        <v>10</v>
      </c>
    </row>
    <row r="64" spans="1:9">
      <c r="A64" s="2">
        <v>2918</v>
      </c>
      <c r="B64" s="2" t="s">
        <v>80</v>
      </c>
      <c r="C64" s="2" t="str">
        <f>IF(data[[#This Row],[gender]] = "M", "Male", "Female")</f>
        <v>Male</v>
      </c>
      <c r="D64" s="2" t="str">
        <f>UPPER(data[[#This Row],[department]])</f>
        <v>BUSINESS DEVELOPMENT</v>
      </c>
      <c r="E64" s="6">
        <v>2104995.17</v>
      </c>
      <c r="F64" s="9">
        <v>44105</v>
      </c>
      <c r="G64" s="2" t="str">
        <f>IF(data[[#This Row],[tenure]], "full time", "part time")</f>
        <v>part time</v>
      </c>
      <c r="H64" s="2" t="str">
        <f>IF(data[[#This Row],[contract_type]], "permanent", "fixed-term")</f>
        <v>permanent</v>
      </c>
      <c r="I64" s="2" t="s">
        <v>18</v>
      </c>
    </row>
    <row r="65" spans="1:9">
      <c r="A65" s="2">
        <v>2972</v>
      </c>
      <c r="B65" s="2" t="s">
        <v>81</v>
      </c>
      <c r="C65" s="2" t="str">
        <f>IF(data[[#This Row],[gender]] = "M", "Male", "Female")</f>
        <v>Female</v>
      </c>
      <c r="D65" s="2" t="str">
        <f>UPPER(data[[#This Row],[department]])</f>
        <v>BUSINESS DEVELOPMENT</v>
      </c>
      <c r="E65" s="6">
        <v>2761135.87</v>
      </c>
      <c r="F65" s="9">
        <v>42153</v>
      </c>
      <c r="G65" s="2" t="str">
        <f>IF(data[[#This Row],[tenure]], "full time", "part time")</f>
        <v>full time</v>
      </c>
      <c r="H65" s="2" t="str">
        <f>IF(data[[#This Row],[contract_type]], "permanent", "fixed-term")</f>
        <v>permanent</v>
      </c>
      <c r="I65" s="2" t="s">
        <v>10</v>
      </c>
    </row>
    <row r="66" spans="1:9">
      <c r="A66" s="2">
        <v>2976</v>
      </c>
      <c r="B66" s="2" t="s">
        <v>82</v>
      </c>
      <c r="C66" s="2" t="str">
        <f>IF(data[[#This Row],[gender]] = "M", "Male", "Female")</f>
        <v>Female</v>
      </c>
      <c r="D66" s="2" t="str">
        <f>UPPER(data[[#This Row],[department]])</f>
        <v>LEGAL</v>
      </c>
      <c r="E66" s="6">
        <v>3631644.9</v>
      </c>
      <c r="F66" s="9">
        <v>42117</v>
      </c>
      <c r="G66" s="2" t="str">
        <f>IF(data[[#This Row],[tenure]], "full time", "part time")</f>
        <v>part time</v>
      </c>
      <c r="H66" s="2" t="str">
        <f>IF(data[[#This Row],[contract_type]], "permanent", "fixed-term")</f>
        <v>fixed-term</v>
      </c>
      <c r="I66" s="2" t="s">
        <v>20</v>
      </c>
    </row>
    <row r="67" spans="1:9">
      <c r="A67" s="2">
        <v>2976</v>
      </c>
      <c r="B67" s="2" t="s">
        <v>83</v>
      </c>
      <c r="C67" s="2" t="str">
        <f>IF(data[[#This Row],[gender]] = "M", "Male", "Female")</f>
        <v>Male</v>
      </c>
      <c r="D67" s="2" t="str">
        <f>UPPER(data[[#This Row],[department]])</f>
        <v>PRODUCT MANAGEMENT</v>
      </c>
      <c r="E67" s="6">
        <v>2453295.02</v>
      </c>
      <c r="F67" s="9">
        <v>40937</v>
      </c>
      <c r="G67" s="2" t="str">
        <f>IF(data[[#This Row],[tenure]], "full time", "part time")</f>
        <v>full time</v>
      </c>
      <c r="H67" s="2" t="str">
        <f>IF(data[[#This Row],[contract_type]], "permanent", "fixed-term")</f>
        <v>fixed-term</v>
      </c>
      <c r="I67" s="2" t="s">
        <v>15</v>
      </c>
    </row>
    <row r="68" spans="1:9">
      <c r="A68" s="2">
        <v>2999</v>
      </c>
      <c r="B68" s="2" t="s">
        <v>84</v>
      </c>
      <c r="C68" s="2" t="str">
        <f>IF(data[[#This Row],[gender]] = "M", "Male", "Female")</f>
        <v>Male</v>
      </c>
      <c r="D68" s="2" t="str">
        <f>UPPER(data[[#This Row],[department]])</f>
        <v>ENGINEERING</v>
      </c>
      <c r="E68" s="6">
        <v>2336074.87</v>
      </c>
      <c r="F68" s="9">
        <v>43243</v>
      </c>
      <c r="G68" s="2" t="str">
        <f>IF(data[[#This Row],[tenure]], "full time", "part time")</f>
        <v>full time</v>
      </c>
      <c r="H68" s="2" t="str">
        <f>IF(data[[#This Row],[contract_type]], "permanent", "fixed-term")</f>
        <v>permanent</v>
      </c>
      <c r="I68" s="2" t="s">
        <v>27</v>
      </c>
    </row>
    <row r="69" spans="1:9">
      <c r="A69" s="2">
        <v>3010</v>
      </c>
      <c r="B69" s="2" t="s">
        <v>85</v>
      </c>
      <c r="C69" s="2" t="str">
        <f>IF(data[[#This Row],[gender]] = "M", "Male", "Female")</f>
        <v>Female</v>
      </c>
      <c r="D69" s="2" t="str">
        <f>UPPER(data[[#This Row],[department]])</f>
        <v>SUPPORT</v>
      </c>
      <c r="E69" s="6">
        <v>4656019.7300000004</v>
      </c>
      <c r="F69" s="9">
        <v>42773</v>
      </c>
      <c r="G69" s="2" t="str">
        <f>IF(data[[#This Row],[tenure]], "full time", "part time")</f>
        <v>full time</v>
      </c>
      <c r="H69" s="2" t="str">
        <f>IF(data[[#This Row],[contract_type]], "permanent", "fixed-term")</f>
        <v>permanent</v>
      </c>
      <c r="I69" s="2" t="s">
        <v>18</v>
      </c>
    </row>
    <row r="70" spans="1:9">
      <c r="A70" s="2">
        <v>3031</v>
      </c>
      <c r="B70" s="2" t="s">
        <v>86</v>
      </c>
      <c r="C70" s="2" t="str">
        <f>IF(data[[#This Row],[gender]] = "M", "Male", "Female")</f>
        <v>Female</v>
      </c>
      <c r="D70" s="2" t="str">
        <f>UPPER(data[[#This Row],[department]])</f>
        <v>ENGINEERING</v>
      </c>
      <c r="E70" s="6">
        <v>3499965.76</v>
      </c>
      <c r="F70" s="9">
        <v>42316</v>
      </c>
      <c r="G70" s="2" t="str">
        <f>IF(data[[#This Row],[tenure]], "full time", "part time")</f>
        <v>part time</v>
      </c>
      <c r="H70" s="2" t="str">
        <f>IF(data[[#This Row],[contract_type]], "permanent", "fixed-term")</f>
        <v>permanent</v>
      </c>
      <c r="I70" s="2" t="s">
        <v>24</v>
      </c>
    </row>
    <row r="71" spans="1:9">
      <c r="A71" s="2">
        <v>3034</v>
      </c>
      <c r="B71" s="2" t="s">
        <v>87</v>
      </c>
      <c r="C71" s="2" t="str">
        <f>IF(data[[#This Row],[gender]] = "M", "Male", "Female")</f>
        <v>Male</v>
      </c>
      <c r="D71" s="2" t="str">
        <f>UPPER(data[[#This Row],[department]])</f>
        <v>MARKETING</v>
      </c>
      <c r="E71" s="6">
        <v>3538087.02</v>
      </c>
      <c r="F71" s="9">
        <v>41773</v>
      </c>
      <c r="G71" s="2" t="str">
        <f>IF(data[[#This Row],[tenure]], "full time", "part time")</f>
        <v>full time</v>
      </c>
      <c r="H71" s="2" t="str">
        <f>IF(data[[#This Row],[contract_type]], "permanent", "fixed-term")</f>
        <v>permanent</v>
      </c>
      <c r="I71" s="2" t="s">
        <v>62</v>
      </c>
    </row>
    <row r="72" spans="1:9">
      <c r="A72" s="2">
        <v>3097</v>
      </c>
      <c r="B72" s="2" t="s">
        <v>88</v>
      </c>
      <c r="C72" s="2" t="str">
        <f>IF(data[[#This Row],[gender]] = "M", "Male", "Female")</f>
        <v>Female</v>
      </c>
      <c r="D72" s="2" t="str">
        <f>UPPER(data[[#This Row],[department]])</f>
        <v/>
      </c>
      <c r="E72" s="6"/>
      <c r="F72" s="9">
        <v>43932</v>
      </c>
      <c r="G72" s="2" t="str">
        <f>IF(data[[#This Row],[tenure]], "full time", "part time")</f>
        <v>part time</v>
      </c>
      <c r="H72" s="2" t="str">
        <f>IF(data[[#This Row],[contract_type]], "permanent", "fixed-term")</f>
        <v>fixed-term</v>
      </c>
      <c r="I72" s="2" t="s">
        <v>27</v>
      </c>
    </row>
    <row r="73" spans="1:9">
      <c r="A73" s="2">
        <v>3156</v>
      </c>
      <c r="B73" s="2" t="s">
        <v>89</v>
      </c>
      <c r="C73" s="2" t="str">
        <f>IF(data[[#This Row],[gender]] = "M", "Male", "Female")</f>
        <v>Female</v>
      </c>
      <c r="D73" s="2" t="str">
        <f>UPPER(data[[#This Row],[department]])</f>
        <v/>
      </c>
      <c r="E73" s="6"/>
      <c r="F73" s="9">
        <v>43932</v>
      </c>
      <c r="G73" s="2" t="str">
        <f>IF(data[[#This Row],[tenure]], "full time", "part time")</f>
        <v>part time</v>
      </c>
      <c r="H73" s="2" t="str">
        <f>IF(data[[#This Row],[contract_type]], "permanent", "fixed-term")</f>
        <v>fixed-term</v>
      </c>
      <c r="I73" s="2" t="s">
        <v>27</v>
      </c>
    </row>
    <row r="74" spans="1:9">
      <c r="A74" s="2">
        <v>3183</v>
      </c>
      <c r="B74" s="2" t="s">
        <v>90</v>
      </c>
      <c r="C74" s="2" t="str">
        <f>IF(data[[#This Row],[gender]] = "M", "Male", "Female")</f>
        <v>Male</v>
      </c>
      <c r="D74" s="2" t="str">
        <f>UPPER(data[[#This Row],[department]])</f>
        <v>ACCOUNTING</v>
      </c>
      <c r="E74" s="6">
        <v>4013987.92</v>
      </c>
      <c r="F74" s="9">
        <v>43619</v>
      </c>
      <c r="G74" s="2" t="str">
        <f>IF(data[[#This Row],[tenure]], "full time", "part time")</f>
        <v>full time</v>
      </c>
      <c r="H74" s="2" t="str">
        <f>IF(data[[#This Row],[contract_type]], "permanent", "fixed-term")</f>
        <v>permanent</v>
      </c>
      <c r="I74" s="2" t="s">
        <v>24</v>
      </c>
    </row>
    <row r="75" spans="1:9">
      <c r="A75" s="2">
        <v>3359</v>
      </c>
      <c r="B75" s="2" t="s">
        <v>91</v>
      </c>
      <c r="C75" s="2" t="str">
        <f>IF(data[[#This Row],[gender]] = "M", "Male", "Female")</f>
        <v>Male</v>
      </c>
      <c r="D75" s="2" t="str">
        <f>UPPER(data[[#This Row],[department]])</f>
        <v>ACCOUNTING</v>
      </c>
      <c r="E75" s="6">
        <v>4013987.92</v>
      </c>
      <c r="F75" s="9">
        <v>43619</v>
      </c>
      <c r="G75" s="2" t="str">
        <f>IF(data[[#This Row],[tenure]], "full time", "part time")</f>
        <v>full time</v>
      </c>
      <c r="H75" s="2" t="str">
        <f>IF(data[[#This Row],[contract_type]], "permanent", "fixed-term")</f>
        <v>permanent</v>
      </c>
      <c r="I75" s="2" t="s">
        <v>20</v>
      </c>
    </row>
    <row r="76" spans="1:9">
      <c r="A76" s="2">
        <v>3428</v>
      </c>
      <c r="B76" s="2" t="s">
        <v>92</v>
      </c>
      <c r="C76" s="2" t="str">
        <f>IF(data[[#This Row],[gender]] = "M", "Male", "Female")</f>
        <v>Female</v>
      </c>
      <c r="D76" s="2" t="str">
        <f>UPPER(data[[#This Row],[department]])</f>
        <v>ACCOUNTING</v>
      </c>
      <c r="E76" s="6">
        <v>2607996.3199999998</v>
      </c>
      <c r="F76" s="9">
        <v>40995</v>
      </c>
      <c r="G76" s="2" t="str">
        <f>IF(data[[#This Row],[tenure]], "full time", "part time")</f>
        <v>full time</v>
      </c>
      <c r="H76" s="2" t="str">
        <f>IF(data[[#This Row],[contract_type]], "permanent", "fixed-term")</f>
        <v>permanent</v>
      </c>
      <c r="I76" s="2" t="s">
        <v>20</v>
      </c>
    </row>
    <row r="77" spans="1:9">
      <c r="A77" s="2">
        <v>3456</v>
      </c>
      <c r="B77" s="2" t="s">
        <v>93</v>
      </c>
      <c r="C77" s="2" t="str">
        <f>IF(data[[#This Row],[gender]] = "M", "Male", "Female")</f>
        <v>Female</v>
      </c>
      <c r="D77" s="2" t="str">
        <f>UPPER(data[[#This Row],[department]])</f>
        <v>HUMAN RESOURCES</v>
      </c>
      <c r="E77" s="6">
        <v>4027673.44</v>
      </c>
      <c r="F77" s="9">
        <v>44417</v>
      </c>
      <c r="G77" s="2" t="str">
        <f>IF(data[[#This Row],[tenure]], "full time", "part time")</f>
        <v>full time</v>
      </c>
      <c r="H77" s="2" t="str">
        <f>IF(data[[#This Row],[contract_type]], "permanent", "fixed-term")</f>
        <v>fixed-term</v>
      </c>
      <c r="I77" s="2" t="s">
        <v>15</v>
      </c>
    </row>
    <row r="78" spans="1:9">
      <c r="A78" s="2">
        <v>3483</v>
      </c>
      <c r="B78" s="2" t="s">
        <v>94</v>
      </c>
      <c r="C78" s="2" t="str">
        <f>IF(data[[#This Row],[gender]] = "M", "Male", "Female")</f>
        <v>Female</v>
      </c>
      <c r="D78" s="2" t="str">
        <f>UPPER(data[[#This Row],[department]])</f>
        <v>ACCOUNTING</v>
      </c>
      <c r="E78" s="6">
        <v>4512765.18</v>
      </c>
      <c r="F78" s="9">
        <v>44446</v>
      </c>
      <c r="G78" s="2" t="str">
        <f>IF(data[[#This Row],[tenure]], "full time", "part time")</f>
        <v>part time</v>
      </c>
      <c r="H78" s="2" t="str">
        <f>IF(data[[#This Row],[contract_type]], "permanent", "fixed-term")</f>
        <v>fixed-term</v>
      </c>
      <c r="I78" s="2" t="s">
        <v>22</v>
      </c>
    </row>
    <row r="79" spans="1:9">
      <c r="A79" s="2">
        <v>3508</v>
      </c>
      <c r="B79" s="2" t="s">
        <v>95</v>
      </c>
      <c r="C79" s="2" t="str">
        <f>IF(data[[#This Row],[gender]] = "M", "Male", "Female")</f>
        <v>Female</v>
      </c>
      <c r="D79" s="2" t="str">
        <f>UPPER(data[[#This Row],[department]])</f>
        <v>BUSINESS DEVELOPMENT</v>
      </c>
      <c r="E79" s="6">
        <v>4359972.2</v>
      </c>
      <c r="F79" s="9">
        <v>42966</v>
      </c>
      <c r="G79" s="2" t="str">
        <f>IF(data[[#This Row],[tenure]], "full time", "part time")</f>
        <v>part time</v>
      </c>
      <c r="H79" s="2" t="str">
        <f>IF(data[[#This Row],[contract_type]], "permanent", "fixed-term")</f>
        <v>fixed-term</v>
      </c>
      <c r="I79" s="2" t="s">
        <v>24</v>
      </c>
    </row>
    <row r="80" spans="1:9">
      <c r="A80" s="2">
        <v>3515</v>
      </c>
      <c r="B80" s="2" t="s">
        <v>96</v>
      </c>
      <c r="C80" s="2" t="str">
        <f>IF(data[[#This Row],[gender]] = "M", "Male", "Female")</f>
        <v>Female</v>
      </c>
      <c r="D80" s="2" t="str">
        <f>UPPER(data[[#This Row],[department]])</f>
        <v>TRAINING</v>
      </c>
      <c r="E80" s="6">
        <v>3880520.78</v>
      </c>
      <c r="F80" s="9">
        <v>44472</v>
      </c>
      <c r="G80" s="2" t="str">
        <f>IF(data[[#This Row],[tenure]], "full time", "part time")</f>
        <v>full time</v>
      </c>
      <c r="H80" s="2" t="str">
        <f>IF(data[[#This Row],[contract_type]], "permanent", "fixed-term")</f>
        <v>permanent</v>
      </c>
      <c r="I80" s="2" t="s">
        <v>20</v>
      </c>
    </row>
    <row r="81" spans="1:9">
      <c r="A81" s="2">
        <v>3580</v>
      </c>
      <c r="B81" s="2" t="s">
        <v>97</v>
      </c>
      <c r="C81" s="2" t="str">
        <f>IF(data[[#This Row],[gender]] = "M", "Male", "Female")</f>
        <v>Female</v>
      </c>
      <c r="D81" s="2" t="str">
        <f>UPPER(data[[#This Row],[department]])</f>
        <v>TRAINING</v>
      </c>
      <c r="E81" s="6">
        <v>3880520.78</v>
      </c>
      <c r="F81" s="9">
        <v>44472</v>
      </c>
      <c r="G81" s="2" t="str">
        <f>IF(data[[#This Row],[tenure]], "full time", "part time")</f>
        <v>full time</v>
      </c>
      <c r="H81" s="2" t="str">
        <f>IF(data[[#This Row],[contract_type]], "permanent", "fixed-term")</f>
        <v>permanent</v>
      </c>
      <c r="I81" s="2" t="s">
        <v>12</v>
      </c>
    </row>
    <row r="82" spans="1:9">
      <c r="A82" s="2">
        <v>3677</v>
      </c>
      <c r="B82" s="2" t="s">
        <v>98</v>
      </c>
      <c r="C82" s="2" t="str">
        <f>IF(data[[#This Row],[gender]] = "M", "Male", "Female")</f>
        <v>Male</v>
      </c>
      <c r="D82" s="2" t="str">
        <f>UPPER(data[[#This Row],[department]])</f>
        <v>HUMAN RESOURCES</v>
      </c>
      <c r="E82" s="6">
        <v>3227260.16</v>
      </c>
      <c r="F82" s="9">
        <v>43231</v>
      </c>
      <c r="G82" s="2" t="str">
        <f>IF(data[[#This Row],[tenure]], "full time", "part time")</f>
        <v>full time</v>
      </c>
      <c r="H82" s="2" t="str">
        <f>IF(data[[#This Row],[contract_type]], "permanent", "fixed-term")</f>
        <v>permanent</v>
      </c>
      <c r="I82" s="2" t="s">
        <v>18</v>
      </c>
    </row>
    <row r="83" spans="1:9">
      <c r="A83" s="2">
        <v>3683</v>
      </c>
      <c r="B83" s="2" t="s">
        <v>99</v>
      </c>
      <c r="C83" s="2" t="str">
        <f>IF(data[[#This Row],[gender]] = "M", "Male", "Female")</f>
        <v>Female</v>
      </c>
      <c r="D83" s="2" t="str">
        <f>UPPER(data[[#This Row],[department]])</f>
        <v>SUPPORT</v>
      </c>
      <c r="E83" s="6">
        <v>4884611.3</v>
      </c>
      <c r="F83" s="9">
        <v>41716</v>
      </c>
      <c r="G83" s="2" t="str">
        <f>IF(data[[#This Row],[tenure]], "full time", "part time")</f>
        <v>part time</v>
      </c>
      <c r="H83" s="2" t="str">
        <f>IF(data[[#This Row],[contract_type]], "permanent", "fixed-term")</f>
        <v>permanent</v>
      </c>
      <c r="I83" s="2" t="s">
        <v>12</v>
      </c>
    </row>
    <row r="84" spans="1:9">
      <c r="A84" s="2">
        <v>3751</v>
      </c>
      <c r="B84" s="2" t="s">
        <v>100</v>
      </c>
      <c r="C84" s="2" t="str">
        <f>IF(data[[#This Row],[gender]] = "M", "Male", "Female")</f>
        <v>Female</v>
      </c>
      <c r="D84" s="2" t="str">
        <f>UPPER(data[[#This Row],[department]])</f>
        <v>RESEARCH AND DEVELOPMENT</v>
      </c>
      <c r="E84" s="6">
        <v>3651953.72</v>
      </c>
      <c r="F84" s="9">
        <v>40670</v>
      </c>
      <c r="G84" s="2" t="str">
        <f>IF(data[[#This Row],[tenure]], "full time", "part time")</f>
        <v>part time</v>
      </c>
      <c r="H84" s="2" t="str">
        <f>IF(data[[#This Row],[contract_type]], "permanent", "fixed-term")</f>
        <v>fixed-term</v>
      </c>
      <c r="I84" s="2" t="s">
        <v>20</v>
      </c>
    </row>
    <row r="85" spans="1:9">
      <c r="A85" s="2">
        <v>3802</v>
      </c>
      <c r="B85" s="2" t="s">
        <v>101</v>
      </c>
      <c r="C85" s="2" t="str">
        <f>IF(data[[#This Row],[gender]] = "M", "Male", "Female")</f>
        <v>Female</v>
      </c>
      <c r="D85" s="2" t="str">
        <f>UPPER(data[[#This Row],[department]])</f>
        <v>SALES</v>
      </c>
      <c r="E85" s="6">
        <v>1938320.11</v>
      </c>
      <c r="F85" s="9">
        <v>40821</v>
      </c>
      <c r="G85" s="2" t="str">
        <f>IF(data[[#This Row],[tenure]], "full time", "part time")</f>
        <v>full time</v>
      </c>
      <c r="H85" s="2" t="str">
        <f>IF(data[[#This Row],[contract_type]], "permanent", "fixed-term")</f>
        <v>permanent</v>
      </c>
      <c r="I85" s="2" t="s">
        <v>27</v>
      </c>
    </row>
    <row r="86" spans="1:9">
      <c r="A86" s="2">
        <v>3838</v>
      </c>
      <c r="B86" s="2" t="s">
        <v>102</v>
      </c>
      <c r="C86" s="2" t="str">
        <f>IF(data[[#This Row],[gender]] = "M", "Male", "Female")</f>
        <v>Male</v>
      </c>
      <c r="D86" s="2" t="str">
        <f>UPPER(data[[#This Row],[department]])</f>
        <v>SERVICES</v>
      </c>
      <c r="E86" s="6">
        <v>2124789.86</v>
      </c>
      <c r="F86" s="9">
        <v>44505</v>
      </c>
      <c r="G86" s="2" t="str">
        <f>IF(data[[#This Row],[tenure]], "full time", "part time")</f>
        <v>full time</v>
      </c>
      <c r="H86" s="2" t="str">
        <f>IF(data[[#This Row],[contract_type]], "permanent", "fixed-term")</f>
        <v>fixed-term</v>
      </c>
      <c r="I86" s="2" t="s">
        <v>27</v>
      </c>
    </row>
    <row r="87" spans="1:9">
      <c r="A87" s="2">
        <v>3838</v>
      </c>
      <c r="B87" s="2" t="s">
        <v>103</v>
      </c>
      <c r="C87" s="2" t="str">
        <f>IF(data[[#This Row],[gender]] = "M", "Male", "Female")</f>
        <v>Male</v>
      </c>
      <c r="D87" s="2" t="str">
        <f>UPPER(data[[#This Row],[department]])</f>
        <v>SUPPORT</v>
      </c>
      <c r="E87" s="6">
        <v>3739272.43</v>
      </c>
      <c r="F87" s="9">
        <v>43520</v>
      </c>
      <c r="G87" s="2" t="str">
        <f>IF(data[[#This Row],[tenure]], "full time", "part time")</f>
        <v>part time</v>
      </c>
      <c r="H87" s="2" t="str">
        <f>IF(data[[#This Row],[contract_type]], "permanent", "fixed-term")</f>
        <v>permanent</v>
      </c>
      <c r="I87" s="2" t="s">
        <v>24</v>
      </c>
    </row>
    <row r="88" spans="1:9">
      <c r="A88" s="2">
        <v>3869</v>
      </c>
      <c r="B88" s="2" t="s">
        <v>104</v>
      </c>
      <c r="C88" s="2" t="str">
        <f>IF(data[[#This Row],[gender]] = "M", "Male", "Female")</f>
        <v>Male</v>
      </c>
      <c r="D88" s="2" t="str">
        <f>UPPER(data[[#This Row],[department]])</f>
        <v/>
      </c>
      <c r="E88" s="6"/>
      <c r="F88" s="9">
        <v>44348</v>
      </c>
      <c r="G88" s="2" t="str">
        <f>IF(data[[#This Row],[tenure]], "full time", "part time")</f>
        <v>part time</v>
      </c>
      <c r="H88" s="2" t="str">
        <f>IF(data[[#This Row],[contract_type]], "permanent", "fixed-term")</f>
        <v>permanent</v>
      </c>
      <c r="I88" s="2" t="s">
        <v>10</v>
      </c>
    </row>
    <row r="89" spans="1:9">
      <c r="A89" s="2">
        <v>3932</v>
      </c>
      <c r="B89" s="2" t="s">
        <v>105</v>
      </c>
      <c r="C89" s="2" t="str">
        <f>IF(data[[#This Row],[gender]] = "M", "Male", "Female")</f>
        <v>Male</v>
      </c>
      <c r="D89" s="2" t="str">
        <f>UPPER(data[[#This Row],[department]])</f>
        <v>BUSINESS DEVELOPMENT</v>
      </c>
      <c r="E89" s="6">
        <v>3606952.08</v>
      </c>
      <c r="F89" s="9">
        <v>44434</v>
      </c>
      <c r="G89" s="2" t="str">
        <f>IF(data[[#This Row],[tenure]], "full time", "part time")</f>
        <v>part time</v>
      </c>
      <c r="H89" s="2" t="str">
        <f>IF(data[[#This Row],[contract_type]], "permanent", "fixed-term")</f>
        <v>fixed-term</v>
      </c>
      <c r="I89" s="2" t="s">
        <v>24</v>
      </c>
    </row>
    <row r="90" spans="1:9">
      <c r="A90" s="2">
        <v>4049</v>
      </c>
      <c r="B90" s="2" t="s">
        <v>106</v>
      </c>
      <c r="C90" s="2" t="str">
        <f>IF(data[[#This Row],[gender]] = "M", "Male", "Female")</f>
        <v>Female</v>
      </c>
      <c r="D90" s="2" t="str">
        <f>UPPER(data[[#This Row],[department]])</f>
        <v>RESEARCH AND DEVELOPMENT</v>
      </c>
      <c r="E90" s="6">
        <v>3057032.59</v>
      </c>
      <c r="F90" s="9">
        <v>41761</v>
      </c>
      <c r="G90" s="2" t="str">
        <f>IF(data[[#This Row],[tenure]], "full time", "part time")</f>
        <v>part time</v>
      </c>
      <c r="H90" s="2" t="str">
        <f>IF(data[[#This Row],[contract_type]], "permanent", "fixed-term")</f>
        <v>fixed-term</v>
      </c>
      <c r="I90" s="2" t="s">
        <v>24</v>
      </c>
    </row>
    <row r="91" spans="1:9">
      <c r="A91" s="2">
        <v>4084</v>
      </c>
      <c r="B91" s="2" t="s">
        <v>107</v>
      </c>
      <c r="C91" s="2" t="str">
        <f>IF(data[[#This Row],[gender]] = "M", "Male", "Female")</f>
        <v>Female</v>
      </c>
      <c r="D91" s="2" t="str">
        <f>UPPER(data[[#This Row],[department]])</f>
        <v>TRAINING</v>
      </c>
      <c r="E91" s="6">
        <v>1961952.63</v>
      </c>
      <c r="F91" s="9">
        <v>44462</v>
      </c>
      <c r="G91" s="2" t="str">
        <f>IF(data[[#This Row],[tenure]], "full time", "part time")</f>
        <v>full time</v>
      </c>
      <c r="H91" s="2" t="str">
        <f>IF(data[[#This Row],[contract_type]], "permanent", "fixed-term")</f>
        <v>permanent</v>
      </c>
      <c r="I91" s="2" t="s">
        <v>27</v>
      </c>
    </row>
    <row r="92" spans="1:9">
      <c r="A92" s="2">
        <v>4173</v>
      </c>
      <c r="B92" s="2" t="s">
        <v>108</v>
      </c>
      <c r="C92" s="2" t="str">
        <f>IF(data[[#This Row],[gender]] = "M", "Male", "Female")</f>
        <v>Male</v>
      </c>
      <c r="D92" s="2" t="str">
        <f>UPPER(data[[#This Row],[department]])</f>
        <v>HUMAN RESOURCES</v>
      </c>
      <c r="E92" s="6">
        <v>3842439.81</v>
      </c>
      <c r="F92" s="9">
        <v>44410</v>
      </c>
      <c r="G92" s="2" t="str">
        <f>IF(data[[#This Row],[tenure]], "full time", "part time")</f>
        <v>part time</v>
      </c>
      <c r="H92" s="2" t="str">
        <f>IF(data[[#This Row],[contract_type]], "permanent", "fixed-term")</f>
        <v>permanent</v>
      </c>
      <c r="I92" s="2" t="s">
        <v>24</v>
      </c>
    </row>
    <row r="93" spans="1:9">
      <c r="A93" s="2">
        <v>4185</v>
      </c>
      <c r="B93" s="2" t="s">
        <v>109</v>
      </c>
      <c r="C93" s="2" t="str">
        <f>IF(data[[#This Row],[gender]] = "M", "Male", "Female")</f>
        <v>Female</v>
      </c>
      <c r="D93" s="2" t="str">
        <f>UPPER(data[[#This Row],[department]])</f>
        <v xml:space="preserve">   SALES</v>
      </c>
      <c r="E93" s="6">
        <v>2644727.2999999998</v>
      </c>
      <c r="F93" s="9">
        <v>41137</v>
      </c>
      <c r="G93" s="2" t="str">
        <f>IF(data[[#This Row],[tenure]], "full time", "part time")</f>
        <v>full time</v>
      </c>
      <c r="H93" s="2" t="str">
        <f>IF(data[[#This Row],[contract_type]], "permanent", "fixed-term")</f>
        <v>permanent</v>
      </c>
      <c r="I93" s="2" t="s">
        <v>22</v>
      </c>
    </row>
    <row r="94" spans="1:9">
      <c r="A94" s="2">
        <v>4193</v>
      </c>
      <c r="B94" s="2" t="s">
        <v>110</v>
      </c>
      <c r="C94" s="2" t="str">
        <f>IF(data[[#This Row],[gender]] = "M", "Male", "Female")</f>
        <v>Male</v>
      </c>
      <c r="D94" s="2" t="str">
        <f>UPPER(data[[#This Row],[department]])</f>
        <v>SALES</v>
      </c>
      <c r="E94" s="6">
        <v>4602728.46</v>
      </c>
      <c r="F94" s="9">
        <v>40962</v>
      </c>
      <c r="G94" s="2" t="str">
        <f>IF(data[[#This Row],[tenure]], "full time", "part time")</f>
        <v>full time</v>
      </c>
      <c r="H94" s="2" t="str">
        <f>IF(data[[#This Row],[contract_type]], "permanent", "fixed-term")</f>
        <v>permanent</v>
      </c>
      <c r="I94" s="2" t="s">
        <v>20</v>
      </c>
    </row>
    <row r="95" spans="1:9">
      <c r="A95" s="2">
        <v>4203</v>
      </c>
      <c r="B95" s="2" t="s">
        <v>111</v>
      </c>
      <c r="C95" s="2" t="str">
        <f>IF(data[[#This Row],[gender]] = "M", "Male", "Female")</f>
        <v>Female</v>
      </c>
      <c r="D95" s="2" t="str">
        <f>UPPER(data[[#This Row],[department]])</f>
        <v>RESEARCH AND DEVELOPMENT</v>
      </c>
      <c r="E95" s="6">
        <v>3135106.52</v>
      </c>
      <c r="F95" s="9">
        <v>41140</v>
      </c>
      <c r="G95" s="2" t="str">
        <f>IF(data[[#This Row],[tenure]], "full time", "part time")</f>
        <v>full time</v>
      </c>
      <c r="H95" s="2" t="str">
        <f>IF(data[[#This Row],[contract_type]], "permanent", "fixed-term")</f>
        <v>fixed-term</v>
      </c>
      <c r="I95" s="2" t="s">
        <v>24</v>
      </c>
    </row>
    <row r="96" spans="1:9">
      <c r="A96" s="2">
        <v>4212</v>
      </c>
      <c r="B96" s="2" t="s">
        <v>112</v>
      </c>
      <c r="C96" s="2" t="str">
        <f>IF(data[[#This Row],[gender]] = "M", "Male", "Female")</f>
        <v>Female</v>
      </c>
      <c r="D96" s="2" t="str">
        <f>UPPER(data[[#This Row],[department]])</f>
        <v>SUPPORT</v>
      </c>
      <c r="E96" s="6">
        <v>2046006.62</v>
      </c>
      <c r="F96" s="9">
        <v>42272</v>
      </c>
      <c r="G96" s="2" t="str">
        <f>IF(data[[#This Row],[tenure]], "full time", "part time")</f>
        <v>full time</v>
      </c>
      <c r="H96" s="2" t="str">
        <f>IF(data[[#This Row],[contract_type]], "permanent", "fixed-term")</f>
        <v>permanent</v>
      </c>
      <c r="I96" s="2" t="s">
        <v>15</v>
      </c>
    </row>
    <row r="97" spans="1:9">
      <c r="A97" s="2">
        <v>4212</v>
      </c>
      <c r="B97" s="2" t="s">
        <v>113</v>
      </c>
      <c r="C97" s="2" t="str">
        <f>IF(data[[#This Row],[gender]] = "M", "Male", "Female")</f>
        <v>Female</v>
      </c>
      <c r="D97" s="2" t="str">
        <f>UPPER(data[[#This Row],[department]])</f>
        <v>SUPPORT</v>
      </c>
      <c r="E97" s="6">
        <v>2277588.2799999998</v>
      </c>
      <c r="F97" s="9">
        <v>42001</v>
      </c>
      <c r="G97" s="2" t="str">
        <f>IF(data[[#This Row],[tenure]], "full time", "part time")</f>
        <v>full time</v>
      </c>
      <c r="H97" s="2" t="str">
        <f>IF(data[[#This Row],[contract_type]], "permanent", "fixed-term")</f>
        <v>permanent</v>
      </c>
      <c r="I97" s="2" t="s">
        <v>22</v>
      </c>
    </row>
    <row r="98" spans="1:9">
      <c r="A98" s="2">
        <v>4213</v>
      </c>
      <c r="B98" s="2" t="s">
        <v>114</v>
      </c>
      <c r="C98" s="2" t="str">
        <f>IF(data[[#This Row],[gender]] = "M", "Male", "Female")</f>
        <v>Female</v>
      </c>
      <c r="D98" s="2" t="str">
        <f>UPPER(data[[#This Row],[department]])</f>
        <v>HUMAN RESOURCES</v>
      </c>
      <c r="E98" s="6">
        <v>1805190.75</v>
      </c>
      <c r="F98" s="9">
        <v>44215</v>
      </c>
      <c r="G98" s="2" t="str">
        <f>IF(data[[#This Row],[tenure]], "full time", "part time")</f>
        <v>part time</v>
      </c>
      <c r="H98" s="2" t="str">
        <f>IF(data[[#This Row],[contract_type]], "permanent", "fixed-term")</f>
        <v>fixed-term</v>
      </c>
      <c r="I98" s="2" t="s">
        <v>18</v>
      </c>
    </row>
    <row r="99" spans="1:9">
      <c r="A99" s="2">
        <v>4221</v>
      </c>
      <c r="B99" s="2" t="s">
        <v>115</v>
      </c>
      <c r="C99" s="2" t="str">
        <f>IF(data[[#This Row],[gender]] = "M", "Male", "Female")</f>
        <v>Male</v>
      </c>
      <c r="D99" s="2" t="str">
        <f>UPPER(data[[#This Row],[department]])</f>
        <v>SERVICES</v>
      </c>
      <c r="E99" s="6">
        <v>3431157.6</v>
      </c>
      <c r="F99" s="9">
        <v>44832</v>
      </c>
      <c r="G99" s="2" t="str">
        <f>IF(data[[#This Row],[tenure]], "full time", "part time")</f>
        <v>part time</v>
      </c>
      <c r="H99" s="2" t="str">
        <f>IF(data[[#This Row],[contract_type]], "permanent", "fixed-term")</f>
        <v>fixed-term</v>
      </c>
      <c r="I99" s="2" t="s">
        <v>27</v>
      </c>
    </row>
    <row r="100" spans="1:9">
      <c r="A100" s="2">
        <v>4239</v>
      </c>
      <c r="B100" s="2" t="s">
        <v>116</v>
      </c>
      <c r="C100" s="2" t="str">
        <f>IF(data[[#This Row],[gender]] = "M", "Male", "Female")</f>
        <v>Female</v>
      </c>
      <c r="D100" s="2" t="str">
        <f>UPPER(data[[#This Row],[department]])</f>
        <v>HUMAN RESOURCES</v>
      </c>
      <c r="E100" s="6">
        <v>3142122.03</v>
      </c>
      <c r="F100" s="9">
        <v>44114</v>
      </c>
      <c r="G100" s="2" t="str">
        <f>IF(data[[#This Row],[tenure]], "full time", "part time")</f>
        <v>part time</v>
      </c>
      <c r="H100" s="2" t="str">
        <f>IF(data[[#This Row],[contract_type]], "permanent", "fixed-term")</f>
        <v>fixed-term</v>
      </c>
      <c r="I100" s="2" t="s">
        <v>20</v>
      </c>
    </row>
    <row r="101" spans="1:9">
      <c r="A101" s="2">
        <v>4307</v>
      </c>
      <c r="B101" s="2" t="s">
        <v>117</v>
      </c>
      <c r="C101" s="2" t="str">
        <f>IF(data[[#This Row],[gender]] = "M", "Male", "Female")</f>
        <v>Female</v>
      </c>
      <c r="D101" s="2" t="str">
        <f>UPPER(data[[#This Row],[department]])</f>
        <v>SUPPORT</v>
      </c>
      <c r="E101" s="6">
        <v>4974530.99</v>
      </c>
      <c r="F101" s="9">
        <v>41814</v>
      </c>
      <c r="G101" s="2" t="str">
        <f>IF(data[[#This Row],[tenure]], "full time", "part time")</f>
        <v>full time</v>
      </c>
      <c r="H101" s="2" t="str">
        <f>IF(data[[#This Row],[contract_type]], "permanent", "fixed-term")</f>
        <v>permanent</v>
      </c>
      <c r="I101" s="2" t="s">
        <v>22</v>
      </c>
    </row>
    <row r="102" spans="1:9">
      <c r="A102" s="2">
        <v>4329</v>
      </c>
      <c r="B102" s="2" t="s">
        <v>118</v>
      </c>
      <c r="C102" s="2" t="str">
        <f>IF(data[[#This Row],[gender]] = "M", "Male", "Female")</f>
        <v>Female</v>
      </c>
      <c r="D102" s="2" t="str">
        <f>UPPER(data[[#This Row],[department]])</f>
        <v>LEGAL</v>
      </c>
      <c r="E102" s="6">
        <v>4331429.46</v>
      </c>
      <c r="F102" s="9">
        <v>43792</v>
      </c>
      <c r="G102" s="2" t="str">
        <f>IF(data[[#This Row],[tenure]], "full time", "part time")</f>
        <v>full time</v>
      </c>
      <c r="H102" s="2" t="str">
        <f>IF(data[[#This Row],[contract_type]], "permanent", "fixed-term")</f>
        <v>fixed-term</v>
      </c>
      <c r="I102" s="2" t="s">
        <v>22</v>
      </c>
    </row>
    <row r="103" spans="1:9">
      <c r="A103" s="2">
        <v>4329</v>
      </c>
      <c r="B103" s="2" t="s">
        <v>119</v>
      </c>
      <c r="C103" s="2" t="str">
        <f>IF(data[[#This Row],[gender]] = "M", "Male", "Female")</f>
        <v>Male</v>
      </c>
      <c r="D103" s="2" t="str">
        <f>UPPER(data[[#This Row],[department]])</f>
        <v>SUPPORT</v>
      </c>
      <c r="E103" s="6">
        <v>2375030.5099999998</v>
      </c>
      <c r="F103" s="9">
        <v>44510</v>
      </c>
      <c r="G103" s="2" t="str">
        <f>IF(data[[#This Row],[tenure]], "full time", "part time")</f>
        <v>full time</v>
      </c>
      <c r="H103" s="2" t="str">
        <f>IF(data[[#This Row],[contract_type]], "permanent", "fixed-term")</f>
        <v>fixed-term</v>
      </c>
      <c r="I103" s="2" t="s">
        <v>27</v>
      </c>
    </row>
    <row r="104" spans="1:9">
      <c r="A104" s="2">
        <v>4368</v>
      </c>
      <c r="B104" s="2" t="s">
        <v>120</v>
      </c>
      <c r="C104" s="2" t="str">
        <f>IF(data[[#This Row],[gender]] = "M", "Male", "Female")</f>
        <v>Male</v>
      </c>
      <c r="D104" s="2" t="str">
        <f>UPPER(data[[#This Row],[department]])</f>
        <v>TRAINING</v>
      </c>
      <c r="E104" s="6">
        <v>4106273.07</v>
      </c>
      <c r="F104" s="9">
        <v>42281</v>
      </c>
      <c r="G104" s="2" t="str">
        <f>IF(data[[#This Row],[tenure]], "full time", "part time")</f>
        <v>part time</v>
      </c>
      <c r="H104" s="2" t="str">
        <f>IF(data[[#This Row],[contract_type]], "permanent", "fixed-term")</f>
        <v>fixed-term</v>
      </c>
      <c r="I104" s="2" t="s">
        <v>20</v>
      </c>
    </row>
    <row r="105" spans="1:9">
      <c r="A105" s="2">
        <v>4412</v>
      </c>
      <c r="B105" s="2" t="s">
        <v>121</v>
      </c>
      <c r="C105" s="2" t="str">
        <f>IF(data[[#This Row],[gender]] = "M", "Male", "Female")</f>
        <v>Male</v>
      </c>
      <c r="D105" s="2" t="str">
        <f>UPPER(data[[#This Row],[department]])</f>
        <v>MARKETING</v>
      </c>
      <c r="E105" s="6">
        <v>3727382.74</v>
      </c>
      <c r="F105" s="9">
        <v>41467</v>
      </c>
      <c r="G105" s="2" t="str">
        <f>IF(data[[#This Row],[tenure]], "full time", "part time")</f>
        <v>part time</v>
      </c>
      <c r="H105" s="2" t="str">
        <f>IF(data[[#This Row],[contract_type]], "permanent", "fixed-term")</f>
        <v>permanent</v>
      </c>
      <c r="I105" s="2" t="s">
        <v>27</v>
      </c>
    </row>
    <row r="106" spans="1:9">
      <c r="A106" s="2">
        <v>4412</v>
      </c>
      <c r="B106" s="2" t="s">
        <v>122</v>
      </c>
      <c r="C106" s="2" t="str">
        <f>IF(data[[#This Row],[gender]] = "M", "Male", "Female")</f>
        <v>Male</v>
      </c>
      <c r="D106" s="2" t="str">
        <f>UPPER(data[[#This Row],[department]])</f>
        <v>MARKETING</v>
      </c>
      <c r="E106" s="6">
        <v>4900273.46</v>
      </c>
      <c r="F106" s="9">
        <v>40736</v>
      </c>
      <c r="G106" s="2" t="str">
        <f>IF(data[[#This Row],[tenure]], "full time", "part time")</f>
        <v>full time</v>
      </c>
      <c r="H106" s="2" t="str">
        <f>IF(data[[#This Row],[contract_type]], "permanent", "fixed-term")</f>
        <v>fixed-term</v>
      </c>
      <c r="I106" s="2" t="s">
        <v>27</v>
      </c>
    </row>
    <row r="107" spans="1:9">
      <c r="A107" s="2">
        <v>4484</v>
      </c>
      <c r="B107" s="2" t="s">
        <v>123</v>
      </c>
      <c r="C107" s="2" t="str">
        <f>IF(data[[#This Row],[gender]] = "M", "Male", "Female")</f>
        <v>Female</v>
      </c>
      <c r="D107" s="2" t="str">
        <f>UPPER(data[[#This Row],[department]])</f>
        <v>SERVICES</v>
      </c>
      <c r="E107" s="6">
        <v>1990535.2</v>
      </c>
      <c r="F107" s="9">
        <v>42584</v>
      </c>
      <c r="G107" s="2" t="str">
        <f>IF(data[[#This Row],[tenure]], "full time", "part time")</f>
        <v>full time</v>
      </c>
      <c r="H107" s="2" t="str">
        <f>IF(data[[#This Row],[contract_type]], "permanent", "fixed-term")</f>
        <v>permanent</v>
      </c>
      <c r="I107" s="2" t="s">
        <v>24</v>
      </c>
    </row>
    <row r="108" spans="1:9">
      <c r="A108" s="2">
        <v>4521</v>
      </c>
      <c r="B108" s="2" t="s">
        <v>124</v>
      </c>
      <c r="C108" s="2" t="str">
        <f>IF(data[[#This Row],[gender]] = "M", "Male", "Female")</f>
        <v>Female</v>
      </c>
      <c r="D108" s="2" t="str">
        <f>UPPER(data[[#This Row],[department]])</f>
        <v>MARKETING</v>
      </c>
      <c r="E108" s="6">
        <v>1835283.34</v>
      </c>
      <c r="F108" s="9">
        <v>42302</v>
      </c>
      <c r="G108" s="2" t="str">
        <f>IF(data[[#This Row],[tenure]], "full time", "part time")</f>
        <v>part time</v>
      </c>
      <c r="H108" s="2" t="str">
        <f>IF(data[[#This Row],[contract_type]], "permanent", "fixed-term")</f>
        <v>permanent</v>
      </c>
      <c r="I108" s="2" t="s">
        <v>22</v>
      </c>
    </row>
    <row r="109" spans="1:9">
      <c r="A109" s="2">
        <v>4539</v>
      </c>
      <c r="B109" s="2" t="s">
        <v>125</v>
      </c>
      <c r="C109" s="2" t="str">
        <f>IF(data[[#This Row],[gender]] = "M", "Male", "Female")</f>
        <v>Female</v>
      </c>
      <c r="D109" s="2" t="str">
        <f>UPPER(data[[#This Row],[department]])</f>
        <v>MARKETING</v>
      </c>
      <c r="E109" s="6">
        <v>1917020.95</v>
      </c>
      <c r="F109" s="9">
        <v>44054</v>
      </c>
      <c r="G109" s="2" t="str">
        <f>IF(data[[#This Row],[tenure]], "full time", "part time")</f>
        <v>full time</v>
      </c>
      <c r="H109" s="2" t="str">
        <f>IF(data[[#This Row],[contract_type]], "permanent", "fixed-term")</f>
        <v>permanent</v>
      </c>
      <c r="I109" s="2" t="s">
        <v>24</v>
      </c>
    </row>
    <row r="110" spans="1:9">
      <c r="A110" s="2">
        <v>4553</v>
      </c>
      <c r="B110" s="2" t="s">
        <v>126</v>
      </c>
      <c r="C110" s="2" t="str">
        <f>IF(data[[#This Row],[gender]] = "M", "Male", "Female")</f>
        <v>Female</v>
      </c>
      <c r="D110" s="2" t="str">
        <f>UPPER(data[[#This Row],[department]])</f>
        <v xml:space="preserve">    SERVICES</v>
      </c>
      <c r="E110" s="6">
        <v>4384792.6900000004</v>
      </c>
      <c r="F110" s="9">
        <v>43056</v>
      </c>
      <c r="G110" s="2" t="str">
        <f>IF(data[[#This Row],[tenure]], "full time", "part time")</f>
        <v>full time</v>
      </c>
      <c r="H110" s="2" t="str">
        <f>IF(data[[#This Row],[contract_type]], "permanent", "fixed-term")</f>
        <v>permanent</v>
      </c>
      <c r="I110" s="2" t="s">
        <v>20</v>
      </c>
    </row>
    <row r="111" spans="1:9">
      <c r="A111" s="2">
        <v>4595</v>
      </c>
      <c r="B111" s="2" t="s">
        <v>127</v>
      </c>
      <c r="C111" s="2" t="str">
        <f>IF(data[[#This Row],[gender]] = "M", "Male", "Female")</f>
        <v>Female</v>
      </c>
      <c r="D111" s="2" t="str">
        <f>UPPER(data[[#This Row],[department]])</f>
        <v>HUMAN RESOURCES</v>
      </c>
      <c r="E111" s="6">
        <v>4277858.6500000004</v>
      </c>
      <c r="F111" s="9">
        <v>40973</v>
      </c>
      <c r="G111" s="2" t="str">
        <f>IF(data[[#This Row],[tenure]], "full time", "part time")</f>
        <v>part time</v>
      </c>
      <c r="H111" s="2" t="str">
        <f>IF(data[[#This Row],[contract_type]], "permanent", "fixed-term")</f>
        <v>fixed-term</v>
      </c>
      <c r="I111" s="2" t="s">
        <v>20</v>
      </c>
    </row>
    <row r="112" spans="1:9">
      <c r="A112" s="2">
        <v>4626</v>
      </c>
      <c r="B112" s="2" t="s">
        <v>128</v>
      </c>
      <c r="C112" s="2" t="str">
        <f>IF(data[[#This Row],[gender]] = "M", "Male", "Female")</f>
        <v>Male</v>
      </c>
      <c r="D112" s="2" t="str">
        <f>UPPER(data[[#This Row],[department]])</f>
        <v>BUSINESS DEVELOPMENT</v>
      </c>
      <c r="E112" s="6">
        <v>2602113.96</v>
      </c>
      <c r="F112" s="9">
        <v>44387</v>
      </c>
      <c r="G112" s="2" t="str">
        <f>IF(data[[#This Row],[tenure]], "full time", "part time")</f>
        <v>part time</v>
      </c>
      <c r="H112" s="2" t="str">
        <f>IF(data[[#This Row],[contract_type]], "permanent", "fixed-term")</f>
        <v>permanent</v>
      </c>
      <c r="I112" s="2" t="s">
        <v>24</v>
      </c>
    </row>
    <row r="113" spans="1:9">
      <c r="A113" s="2">
        <v>4626</v>
      </c>
      <c r="B113" s="2" t="s">
        <v>129</v>
      </c>
      <c r="C113" s="2" t="str">
        <f>IF(data[[#This Row],[gender]] = "M", "Male", "Female")</f>
        <v>Male</v>
      </c>
      <c r="D113" s="2" t="str">
        <f>UPPER(data[[#This Row],[department]])</f>
        <v>SERVICES</v>
      </c>
      <c r="E113" s="6">
        <v>3862584.16</v>
      </c>
      <c r="F113" s="9">
        <v>44617</v>
      </c>
      <c r="G113" s="2" t="str">
        <f>IF(data[[#This Row],[tenure]], "full time", "part time")</f>
        <v>part time</v>
      </c>
      <c r="H113" s="2" t="str">
        <f>IF(data[[#This Row],[contract_type]], "permanent", "fixed-term")</f>
        <v>permanent</v>
      </c>
      <c r="I113" s="2" t="s">
        <v>20</v>
      </c>
    </row>
    <row r="114" spans="1:9">
      <c r="A114" s="2">
        <v>4633</v>
      </c>
      <c r="B114" s="2" t="s">
        <v>130</v>
      </c>
      <c r="C114" s="2" t="str">
        <f>IF(data[[#This Row],[gender]] = "M", "Male", "Female")</f>
        <v>Male</v>
      </c>
      <c r="D114" s="2" t="str">
        <f>UPPER(data[[#This Row],[department]])</f>
        <v>SERVICES</v>
      </c>
      <c r="E114" s="6">
        <v>2107328.52</v>
      </c>
      <c r="F114" s="9">
        <v>44242</v>
      </c>
      <c r="G114" s="2" t="str">
        <f>IF(data[[#This Row],[tenure]], "full time", "part time")</f>
        <v>part time</v>
      </c>
      <c r="H114" s="2" t="str">
        <f>IF(data[[#This Row],[contract_type]], "permanent", "fixed-term")</f>
        <v>fixed-term</v>
      </c>
      <c r="I114" s="2" t="s">
        <v>12</v>
      </c>
    </row>
    <row r="115" spans="1:9">
      <c r="A115" s="2">
        <v>4640</v>
      </c>
      <c r="B115" s="2" t="s">
        <v>131</v>
      </c>
      <c r="C115" s="2" t="str">
        <f>IF(data[[#This Row],[gender]] = "M", "Male", "Female")</f>
        <v>Male</v>
      </c>
      <c r="D115" s="2" t="str">
        <f>UPPER(data[[#This Row],[department]])</f>
        <v>ACCOUNTING</v>
      </c>
      <c r="E115" s="6">
        <v>1864906.9</v>
      </c>
      <c r="F115" s="9">
        <v>42071</v>
      </c>
      <c r="G115" s="2" t="str">
        <f>IF(data[[#This Row],[tenure]], "full time", "part time")</f>
        <v>part time</v>
      </c>
      <c r="H115" s="2" t="str">
        <f>IF(data[[#This Row],[contract_type]], "permanent", "fixed-term")</f>
        <v>permanent</v>
      </c>
      <c r="I115" s="2" t="s">
        <v>15</v>
      </c>
    </row>
    <row r="116" spans="1:9">
      <c r="A116" s="2">
        <v>4829</v>
      </c>
      <c r="B116" s="2" t="s">
        <v>132</v>
      </c>
      <c r="C116" s="2" t="str">
        <f>IF(data[[#This Row],[gender]] = "M", "Male", "Female")</f>
        <v>Female</v>
      </c>
      <c r="D116" s="2" t="str">
        <f>UPPER(data[[#This Row],[department]])</f>
        <v>RESEARCH AND DEVELOPMENT</v>
      </c>
      <c r="E116" s="6">
        <v>3379571.19</v>
      </c>
      <c r="F116" s="9">
        <v>41604</v>
      </c>
      <c r="G116" s="2" t="str">
        <f>IF(data[[#This Row],[tenure]], "full time", "part time")</f>
        <v>full time</v>
      </c>
      <c r="H116" s="2" t="str">
        <f>IF(data[[#This Row],[contract_type]], "permanent", "fixed-term")</f>
        <v>permanent</v>
      </c>
      <c r="I116" s="2" t="s">
        <v>24</v>
      </c>
    </row>
    <row r="117" spans="1:9">
      <c r="A117" s="2">
        <v>4838</v>
      </c>
      <c r="B117" s="2" t="s">
        <v>133</v>
      </c>
      <c r="C117" s="2" t="str">
        <f>IF(data[[#This Row],[gender]] = "M", "Male", "Female")</f>
        <v>Male</v>
      </c>
      <c r="D117" s="2" t="str">
        <f>UPPER(data[[#This Row],[department]])</f>
        <v>TRAINING</v>
      </c>
      <c r="E117" s="6">
        <v>1979430.96</v>
      </c>
      <c r="F117" s="9">
        <v>41861</v>
      </c>
      <c r="G117" s="2" t="str">
        <f>IF(data[[#This Row],[tenure]], "full time", "part time")</f>
        <v>full time</v>
      </c>
      <c r="H117" s="2" t="str">
        <f>IF(data[[#This Row],[contract_type]], "permanent", "fixed-term")</f>
        <v>permanent</v>
      </c>
      <c r="I117" s="2" t="s">
        <v>18</v>
      </c>
    </row>
    <row r="118" spans="1:9">
      <c r="A118" s="2">
        <v>4907</v>
      </c>
      <c r="B118" s="2" t="s">
        <v>134</v>
      </c>
      <c r="C118" s="2" t="str">
        <f>IF(data[[#This Row],[gender]] = "M", "Male", "Female")</f>
        <v>Male</v>
      </c>
      <c r="D118" s="2" t="str">
        <f>UPPER(data[[#This Row],[department]])</f>
        <v>MARKETING</v>
      </c>
      <c r="E118" s="6">
        <v>5118039.66</v>
      </c>
      <c r="F118" s="9">
        <v>41898</v>
      </c>
      <c r="G118" s="2" t="str">
        <f>IF(data[[#This Row],[tenure]], "full time", "part time")</f>
        <v>full time</v>
      </c>
      <c r="H118" s="2" t="str">
        <f>IF(data[[#This Row],[contract_type]], "permanent", "fixed-term")</f>
        <v>fixed-term</v>
      </c>
      <c r="I118" s="2" t="s">
        <v>27</v>
      </c>
    </row>
    <row r="119" spans="1:9">
      <c r="A119" s="2">
        <v>4933</v>
      </c>
      <c r="B119" s="2" t="s">
        <v>135</v>
      </c>
      <c r="C119" s="2" t="str">
        <f>IF(data[[#This Row],[gender]] = "M", "Male", "Female")</f>
        <v>Male</v>
      </c>
      <c r="D119" s="2" t="str">
        <f>UPPER(data[[#This Row],[department]])</f>
        <v>ENGINEERING</v>
      </c>
      <c r="E119" s="6">
        <v>4942157.79</v>
      </c>
      <c r="F119" s="9">
        <v>43938</v>
      </c>
      <c r="G119" s="2" t="str">
        <f>IF(data[[#This Row],[tenure]], "full time", "part time")</f>
        <v>full time</v>
      </c>
      <c r="H119" s="2" t="str">
        <f>IF(data[[#This Row],[contract_type]], "permanent", "fixed-term")</f>
        <v>fixed-term</v>
      </c>
      <c r="I119" s="2" t="s">
        <v>15</v>
      </c>
    </row>
    <row r="120" spans="1:9">
      <c r="A120" s="2">
        <v>4963</v>
      </c>
      <c r="B120" s="2" t="s">
        <v>136</v>
      </c>
      <c r="C120" s="2" t="str">
        <f>IF(data[[#This Row],[gender]] = "M", "Male", "Female")</f>
        <v>Female</v>
      </c>
      <c r="D120" s="2" t="str">
        <f>UPPER(data[[#This Row],[department]])</f>
        <v>HUMAN RESOURCES</v>
      </c>
      <c r="E120" s="6">
        <v>3852427.65</v>
      </c>
      <c r="F120" s="9">
        <v>40748</v>
      </c>
      <c r="G120" s="2" t="str">
        <f>IF(data[[#This Row],[tenure]], "full time", "part time")</f>
        <v>full time</v>
      </c>
      <c r="H120" s="2" t="str">
        <f>IF(data[[#This Row],[contract_type]], "permanent", "fixed-term")</f>
        <v>permanent</v>
      </c>
      <c r="I120" s="2" t="s">
        <v>20</v>
      </c>
    </row>
    <row r="121" spans="1:9">
      <c r="A121" s="2">
        <v>5027</v>
      </c>
      <c r="B121" s="2" t="s">
        <v>137</v>
      </c>
      <c r="C121" s="2" t="str">
        <f>IF(data[[#This Row],[gender]] = "M", "Male", "Female")</f>
        <v>Female</v>
      </c>
      <c r="D121" s="2" t="str">
        <f>UPPER(data[[#This Row],[department]])</f>
        <v>RESEARCH AND DEVELOPMENT</v>
      </c>
      <c r="E121" s="6">
        <v>3442164.94</v>
      </c>
      <c r="F121" s="9">
        <v>44127</v>
      </c>
      <c r="G121" s="2" t="str">
        <f>IF(data[[#This Row],[tenure]], "full time", "part time")</f>
        <v>full time</v>
      </c>
      <c r="H121" s="2" t="str">
        <f>IF(data[[#This Row],[contract_type]], "permanent", "fixed-term")</f>
        <v>permanent</v>
      </c>
      <c r="I121" s="2" t="s">
        <v>10</v>
      </c>
    </row>
    <row r="122" spans="1:9">
      <c r="A122" s="2">
        <v>5077</v>
      </c>
      <c r="B122" s="2" t="s">
        <v>138</v>
      </c>
      <c r="C122" s="2" t="str">
        <f>IF(data[[#This Row],[gender]] = "M", "Male", "Female")</f>
        <v>Male</v>
      </c>
      <c r="D122" s="2" t="str">
        <f>UPPER(data[[#This Row],[department]])</f>
        <v>SUPPORT</v>
      </c>
      <c r="E122" s="6">
        <v>2892121.22</v>
      </c>
      <c r="F122" s="9">
        <v>44485</v>
      </c>
      <c r="G122" s="2" t="str">
        <f>IF(data[[#This Row],[tenure]], "full time", "part time")</f>
        <v>part time</v>
      </c>
      <c r="H122" s="2" t="str">
        <f>IF(data[[#This Row],[contract_type]], "permanent", "fixed-term")</f>
        <v>permanent</v>
      </c>
      <c r="I122" s="2" t="s">
        <v>12</v>
      </c>
    </row>
    <row r="123" spans="1:9">
      <c r="A123" s="2">
        <v>5086</v>
      </c>
      <c r="B123" s="2" t="s">
        <v>139</v>
      </c>
      <c r="C123" s="2" t="str">
        <f>IF(data[[#This Row],[gender]] = "M", "Male", "Female")</f>
        <v>Male</v>
      </c>
      <c r="D123" s="2" t="str">
        <f>UPPER(data[[#This Row],[department]])</f>
        <v>RESEARCH AND DEVELOPMENT</v>
      </c>
      <c r="E123" s="6">
        <v>5131325.93</v>
      </c>
      <c r="F123" s="9">
        <v>41549</v>
      </c>
      <c r="G123" s="2" t="str">
        <f>IF(data[[#This Row],[tenure]], "full time", "part time")</f>
        <v>part time</v>
      </c>
      <c r="H123" s="2" t="str">
        <f>IF(data[[#This Row],[contract_type]], "permanent", "fixed-term")</f>
        <v>permanent</v>
      </c>
      <c r="I123" s="2" t="s">
        <v>12</v>
      </c>
    </row>
    <row r="124" spans="1:9">
      <c r="A124" s="2">
        <v>5178</v>
      </c>
      <c r="B124" s="2" t="s">
        <v>140</v>
      </c>
      <c r="C124" s="2" t="str">
        <f>IF(data[[#This Row],[gender]] = "M", "Male", "Female")</f>
        <v>Male</v>
      </c>
      <c r="D124" s="2" t="str">
        <f>UPPER(data[[#This Row],[department]])</f>
        <v>SERVICES</v>
      </c>
      <c r="E124" s="6">
        <v>4601325.6399999997</v>
      </c>
      <c r="F124" s="9">
        <v>42473</v>
      </c>
      <c r="G124" s="2" t="str">
        <f>IF(data[[#This Row],[tenure]], "full time", "part time")</f>
        <v>full time</v>
      </c>
      <c r="H124" s="2" t="str">
        <f>IF(data[[#This Row],[contract_type]], "permanent", "fixed-term")</f>
        <v>permanent</v>
      </c>
      <c r="I124" s="2" t="s">
        <v>10</v>
      </c>
    </row>
    <row r="125" spans="1:9">
      <c r="A125" s="2">
        <v>5235</v>
      </c>
      <c r="B125" s="2" t="s">
        <v>141</v>
      </c>
      <c r="C125" s="2" t="str">
        <f>IF(data[[#This Row],[gender]] = "M", "Male", "Female")</f>
        <v>Male</v>
      </c>
      <c r="D125" s="2" t="str">
        <f>UPPER(data[[#This Row],[department]])</f>
        <v>SUPPORT</v>
      </c>
      <c r="E125" s="6">
        <v>2243850.7799999998</v>
      </c>
      <c r="F125" s="9">
        <v>42413</v>
      </c>
      <c r="G125" s="2" t="str">
        <f>IF(data[[#This Row],[tenure]], "full time", "part time")</f>
        <v>part time</v>
      </c>
      <c r="H125" s="2" t="str">
        <f>IF(data[[#This Row],[contract_type]], "permanent", "fixed-term")</f>
        <v>permanent</v>
      </c>
      <c r="I125" s="2" t="s">
        <v>20</v>
      </c>
    </row>
    <row r="126" spans="1:9">
      <c r="A126" s="2">
        <v>5240</v>
      </c>
      <c r="B126" s="2" t="s">
        <v>142</v>
      </c>
      <c r="C126" s="2" t="str">
        <f>IF(data[[#This Row],[gender]] = "M", "Male", "Female")</f>
        <v>Female</v>
      </c>
      <c r="D126" s="2" t="str">
        <f>UPPER(data[[#This Row],[department]])</f>
        <v>PRODUCT MANAGEMENT</v>
      </c>
      <c r="E126" s="6">
        <v>2458360.48</v>
      </c>
      <c r="F126" s="9">
        <v>41454</v>
      </c>
      <c r="G126" s="2" t="str">
        <f>IF(data[[#This Row],[tenure]], "full time", "part time")</f>
        <v>part time</v>
      </c>
      <c r="H126" s="2" t="str">
        <f>IF(data[[#This Row],[contract_type]], "permanent", "fixed-term")</f>
        <v>fixed-term</v>
      </c>
      <c r="I126" s="2" t="s">
        <v>27</v>
      </c>
    </row>
    <row r="127" spans="1:9">
      <c r="A127" s="2">
        <v>5242</v>
      </c>
      <c r="B127" s="2" t="s">
        <v>143</v>
      </c>
      <c r="C127" s="2" t="str">
        <f>IF(data[[#This Row],[gender]] = "M", "Male", "Female")</f>
        <v>Female</v>
      </c>
      <c r="D127" s="2" t="str">
        <f>UPPER(data[[#This Row],[department]])</f>
        <v>LEGAL</v>
      </c>
      <c r="E127" s="6">
        <v>3288307.4</v>
      </c>
      <c r="F127" s="9">
        <v>41832</v>
      </c>
      <c r="G127" s="2" t="str">
        <f>IF(data[[#This Row],[tenure]], "full time", "part time")</f>
        <v>part time</v>
      </c>
      <c r="H127" s="2" t="str">
        <f>IF(data[[#This Row],[contract_type]], "permanent", "fixed-term")</f>
        <v>permanent</v>
      </c>
      <c r="I127" s="2" t="s">
        <v>20</v>
      </c>
    </row>
    <row r="128" spans="1:9">
      <c r="A128" s="2">
        <v>5253</v>
      </c>
      <c r="B128" s="2" t="s">
        <v>144</v>
      </c>
      <c r="C128" s="2" t="str">
        <f>IF(data[[#This Row],[gender]] = "M", "Male", "Female")</f>
        <v>Male</v>
      </c>
      <c r="D128" s="2" t="str">
        <f>UPPER(data[[#This Row],[department]])</f>
        <v/>
      </c>
      <c r="E128" s="6"/>
      <c r="F128" s="9">
        <v>42460</v>
      </c>
      <c r="G128" s="2" t="str">
        <f>IF(data[[#This Row],[tenure]], "full time", "part time")</f>
        <v>part time</v>
      </c>
      <c r="H128" s="2" t="str">
        <f>IF(data[[#This Row],[contract_type]], "permanent", "fixed-term")</f>
        <v>fixed-term</v>
      </c>
      <c r="I128" s="2" t="s">
        <v>10</v>
      </c>
    </row>
    <row r="129" spans="1:9">
      <c r="A129" s="2">
        <v>5341</v>
      </c>
      <c r="B129" s="2" t="s">
        <v>145</v>
      </c>
      <c r="C129" s="2" t="str">
        <f>IF(data[[#This Row],[gender]] = "M", "Male", "Female")</f>
        <v>Male</v>
      </c>
      <c r="D129" s="2" t="str">
        <f>UPPER(data[[#This Row],[department]])</f>
        <v>BUSINESS DEVELOPMENT</v>
      </c>
      <c r="E129" s="6">
        <v>3679339.46</v>
      </c>
      <c r="F129" s="9">
        <v>42242</v>
      </c>
      <c r="G129" s="2" t="str">
        <f>IF(data[[#This Row],[tenure]], "full time", "part time")</f>
        <v>full time</v>
      </c>
      <c r="H129" s="2" t="str">
        <f>IF(data[[#This Row],[contract_type]], "permanent", "fixed-term")</f>
        <v>permanent</v>
      </c>
      <c r="I129" s="2" t="s">
        <v>18</v>
      </c>
    </row>
    <row r="130" spans="1:9">
      <c r="A130" s="2">
        <v>5356</v>
      </c>
      <c r="B130" s="2" t="s">
        <v>146</v>
      </c>
      <c r="C130" s="2" t="str">
        <f>IF(data[[#This Row],[gender]] = "M", "Male", "Female")</f>
        <v>Male</v>
      </c>
      <c r="D130" s="2" t="str">
        <f>UPPER(data[[#This Row],[department]])</f>
        <v>BUSINESS DEVELOPMENT</v>
      </c>
      <c r="E130" s="6">
        <v>3237260.43</v>
      </c>
      <c r="F130" s="9">
        <v>44764</v>
      </c>
      <c r="G130" s="2" t="str">
        <f>IF(data[[#This Row],[tenure]], "full time", "part time")</f>
        <v>part time</v>
      </c>
      <c r="H130" s="2" t="str">
        <f>IF(data[[#This Row],[contract_type]], "permanent", "fixed-term")</f>
        <v>permanent</v>
      </c>
      <c r="I130" s="2" t="s">
        <v>20</v>
      </c>
    </row>
    <row r="131" spans="1:9">
      <c r="A131" s="2">
        <v>5400</v>
      </c>
      <c r="B131" s="2" t="s">
        <v>147</v>
      </c>
      <c r="C131" s="2" t="str">
        <f>IF(data[[#This Row],[gender]] = "M", "Male", "Female")</f>
        <v>Male</v>
      </c>
      <c r="D131" s="2" t="str">
        <f>UPPER(data[[#This Row],[department]])</f>
        <v>MARKETING</v>
      </c>
      <c r="E131" s="6">
        <v>3339972.13</v>
      </c>
      <c r="F131" s="9">
        <v>42441</v>
      </c>
      <c r="G131" s="2" t="str">
        <f>IF(data[[#This Row],[tenure]], "full time", "part time")</f>
        <v>full time</v>
      </c>
      <c r="H131" s="2" t="str">
        <f>IF(data[[#This Row],[contract_type]], "permanent", "fixed-term")</f>
        <v>fixed-term</v>
      </c>
      <c r="I131" s="2" t="s">
        <v>18</v>
      </c>
    </row>
    <row r="132" spans="1:9">
      <c r="A132" s="2">
        <v>5427</v>
      </c>
      <c r="B132" s="2" t="s">
        <v>148</v>
      </c>
      <c r="C132" s="2" t="str">
        <f>IF(data[[#This Row],[gender]] = "M", "Male", "Female")</f>
        <v>Female</v>
      </c>
      <c r="D132" s="2" t="str">
        <f>UPPER(data[[#This Row],[department]])</f>
        <v>ENGINEERING</v>
      </c>
      <c r="E132" s="6">
        <v>3901853.71</v>
      </c>
      <c r="F132" s="9">
        <v>43892</v>
      </c>
      <c r="G132" s="2" t="str">
        <f>IF(data[[#This Row],[tenure]], "full time", "part time")</f>
        <v>part time</v>
      </c>
      <c r="H132" s="2" t="str">
        <f>IF(data[[#This Row],[contract_type]], "permanent", "fixed-term")</f>
        <v>permanent</v>
      </c>
      <c r="I132" s="2" t="s">
        <v>27</v>
      </c>
    </row>
    <row r="133" spans="1:9">
      <c r="A133" s="2">
        <v>5462</v>
      </c>
      <c r="B133" s="2" t="s">
        <v>149</v>
      </c>
      <c r="C133" s="2" t="str">
        <f>IF(data[[#This Row],[gender]] = "M", "Male", "Female")</f>
        <v>Male</v>
      </c>
      <c r="D133" s="2" t="str">
        <f>UPPER(data[[#This Row],[department]])</f>
        <v>SERVICES</v>
      </c>
      <c r="E133" s="6">
        <v>4562932.43</v>
      </c>
      <c r="F133" s="9">
        <v>44063</v>
      </c>
      <c r="G133" s="2" t="str">
        <f>IF(data[[#This Row],[tenure]], "full time", "part time")</f>
        <v>full time</v>
      </c>
      <c r="H133" s="2" t="str">
        <f>IF(data[[#This Row],[contract_type]], "permanent", "fixed-term")</f>
        <v>permanent</v>
      </c>
      <c r="I133" s="2" t="s">
        <v>10</v>
      </c>
    </row>
    <row r="134" spans="1:9">
      <c r="A134" s="2">
        <v>5516</v>
      </c>
      <c r="B134" s="2" t="s">
        <v>150</v>
      </c>
      <c r="C134" s="2" t="str">
        <f>IF(data[[#This Row],[gender]] = "M", "Male", "Female")</f>
        <v>Female</v>
      </c>
      <c r="D134" s="2" t="str">
        <f>UPPER(data[[#This Row],[department]])</f>
        <v>ENGINEERING</v>
      </c>
      <c r="E134" s="6">
        <v>4017712.48</v>
      </c>
      <c r="F134" s="9">
        <v>44857</v>
      </c>
      <c r="G134" s="2" t="str">
        <f>IF(data[[#This Row],[tenure]], "full time", "part time")</f>
        <v>full time</v>
      </c>
      <c r="H134" s="2" t="str">
        <f>IF(data[[#This Row],[contract_type]], "permanent", "fixed-term")</f>
        <v>fixed-term</v>
      </c>
      <c r="I134" s="2" t="s">
        <v>12</v>
      </c>
    </row>
    <row r="135" spans="1:9">
      <c r="A135" s="2">
        <v>5521</v>
      </c>
      <c r="B135" s="2" t="s">
        <v>151</v>
      </c>
      <c r="C135" s="2" t="str">
        <f>IF(data[[#This Row],[gender]] = "M", "Male", "Female")</f>
        <v>Female</v>
      </c>
      <c r="D135" s="2" t="str">
        <f>UPPER(data[[#This Row],[department]])</f>
        <v>ENGINEERING</v>
      </c>
      <c r="E135" s="6">
        <v>4017712.48</v>
      </c>
      <c r="F135" s="9">
        <v>44857</v>
      </c>
      <c r="G135" s="2" t="str">
        <f>IF(data[[#This Row],[tenure]], "full time", "part time")</f>
        <v>full time</v>
      </c>
      <c r="H135" s="2" t="str">
        <f>IF(data[[#This Row],[contract_type]], "permanent", "fixed-term")</f>
        <v>fixed-term</v>
      </c>
      <c r="I135" s="2" t="s">
        <v>22</v>
      </c>
    </row>
    <row r="136" spans="1:9">
      <c r="A136" s="2">
        <v>5551</v>
      </c>
      <c r="B136" s="2" t="s">
        <v>152</v>
      </c>
      <c r="C136" s="2" t="str">
        <f>IF(data[[#This Row],[gender]] = "M", "Male", "Female")</f>
        <v>Female</v>
      </c>
      <c r="D136" s="2" t="str">
        <f>UPPER(data[[#This Row],[department]])</f>
        <v>SERVICES</v>
      </c>
      <c r="E136" s="6">
        <v>4997170.6500000004</v>
      </c>
      <c r="F136" s="9">
        <v>43325</v>
      </c>
      <c r="G136" s="2" t="str">
        <f>IF(data[[#This Row],[tenure]], "full time", "part time")</f>
        <v>part time</v>
      </c>
      <c r="H136" s="2" t="str">
        <f>IF(data[[#This Row],[contract_type]], "permanent", "fixed-term")</f>
        <v>permanent</v>
      </c>
      <c r="I136" s="2" t="s">
        <v>20</v>
      </c>
    </row>
    <row r="137" spans="1:9">
      <c r="A137" s="2">
        <v>5581</v>
      </c>
      <c r="B137" s="2" t="s">
        <v>153</v>
      </c>
      <c r="C137" s="2" t="str">
        <f>IF(data[[#This Row],[gender]] = "M", "Male", "Female")</f>
        <v>Female</v>
      </c>
      <c r="D137" s="2" t="str">
        <f>UPPER(data[[#This Row],[department]])</f>
        <v>TRAINING</v>
      </c>
      <c r="E137" s="6">
        <v>3401350.74</v>
      </c>
      <c r="F137" s="9">
        <v>40807</v>
      </c>
      <c r="G137" s="2" t="str">
        <f>IF(data[[#This Row],[tenure]], "full time", "part time")</f>
        <v>part time</v>
      </c>
      <c r="H137" s="2" t="str">
        <f>IF(data[[#This Row],[contract_type]], "permanent", "fixed-term")</f>
        <v>permanent</v>
      </c>
      <c r="I137" s="2" t="s">
        <v>24</v>
      </c>
    </row>
    <row r="138" spans="1:9">
      <c r="A138" s="2">
        <v>5626</v>
      </c>
      <c r="B138" s="2" t="s">
        <v>154</v>
      </c>
      <c r="C138" s="2" t="str">
        <f>IF(data[[#This Row],[gender]] = "M", "Male", "Female")</f>
        <v>Male</v>
      </c>
      <c r="D138" s="2" t="str">
        <f>UPPER(data[[#This Row],[department]])</f>
        <v>LEGAL</v>
      </c>
      <c r="E138" s="6">
        <v>3769458.55</v>
      </c>
      <c r="F138" s="9">
        <v>40631</v>
      </c>
      <c r="G138" s="2" t="str">
        <f>IF(data[[#This Row],[tenure]], "full time", "part time")</f>
        <v>full time</v>
      </c>
      <c r="H138" s="2" t="str">
        <f>IF(data[[#This Row],[contract_type]], "permanent", "fixed-term")</f>
        <v>permanent</v>
      </c>
      <c r="I138" s="2" t="s">
        <v>22</v>
      </c>
    </row>
    <row r="139" spans="1:9">
      <c r="A139" s="2">
        <v>5633</v>
      </c>
      <c r="B139" s="2" t="s">
        <v>155</v>
      </c>
      <c r="C139" s="2" t="str">
        <f>IF(data[[#This Row],[gender]] = "M", "Male", "Female")</f>
        <v>Male</v>
      </c>
      <c r="D139" s="2" t="str">
        <f>UPPER(data[[#This Row],[department]])</f>
        <v>MARKETING</v>
      </c>
      <c r="E139" s="6">
        <v>2829761.9</v>
      </c>
      <c r="F139" s="9">
        <v>44150</v>
      </c>
      <c r="G139" s="2" t="str">
        <f>IF(data[[#This Row],[tenure]], "full time", "part time")</f>
        <v>full time</v>
      </c>
      <c r="H139" s="2" t="str">
        <f>IF(data[[#This Row],[contract_type]], "permanent", "fixed-term")</f>
        <v>fixed-term</v>
      </c>
      <c r="I139" s="2" t="s">
        <v>27</v>
      </c>
    </row>
    <row r="140" spans="1:9">
      <c r="A140" s="2">
        <v>5640</v>
      </c>
      <c r="B140" s="2" t="s">
        <v>156</v>
      </c>
      <c r="C140" s="2" t="str">
        <f>IF(data[[#This Row],[gender]] = "M", "Male", "Female")</f>
        <v>Male</v>
      </c>
      <c r="D140" s="2" t="str">
        <f>UPPER(data[[#This Row],[department]])</f>
        <v>LEGAL</v>
      </c>
      <c r="E140" s="6">
        <v>2214753.88</v>
      </c>
      <c r="F140" s="9">
        <v>42798</v>
      </c>
      <c r="G140" s="2" t="str">
        <f>IF(data[[#This Row],[tenure]], "full time", "part time")</f>
        <v>part time</v>
      </c>
      <c r="H140" s="2" t="str">
        <f>IF(data[[#This Row],[contract_type]], "permanent", "fixed-term")</f>
        <v>permanent</v>
      </c>
      <c r="I140" s="2" t="s">
        <v>18</v>
      </c>
    </row>
    <row r="141" spans="1:9">
      <c r="A141" s="2">
        <v>5651</v>
      </c>
      <c r="B141" s="2" t="s">
        <v>157</v>
      </c>
      <c r="C141" s="2" t="str">
        <f>IF(data[[#This Row],[gender]] = "M", "Male", "Female")</f>
        <v>Male</v>
      </c>
      <c r="D141" s="2" t="str">
        <f>UPPER(data[[#This Row],[department]])</f>
        <v>BUSINESS DEVELOPMENT</v>
      </c>
      <c r="E141" s="6">
        <v>5042117.07</v>
      </c>
      <c r="F141" s="9">
        <v>41333</v>
      </c>
      <c r="G141" s="2" t="str">
        <f>IF(data[[#This Row],[tenure]], "full time", "part time")</f>
        <v>full time</v>
      </c>
      <c r="H141" s="2" t="str">
        <f>IF(data[[#This Row],[contract_type]], "permanent", "fixed-term")</f>
        <v>permanent</v>
      </c>
      <c r="I141" s="2" t="s">
        <v>22</v>
      </c>
    </row>
    <row r="142" spans="1:9">
      <c r="A142" s="2">
        <v>5678</v>
      </c>
      <c r="B142" s="2" t="s">
        <v>158</v>
      </c>
      <c r="C142" s="2" t="str">
        <f>IF(data[[#This Row],[gender]] = "M", "Male", "Female")</f>
        <v>Female</v>
      </c>
      <c r="D142" s="2" t="str">
        <f>UPPER(data[[#This Row],[department]])</f>
        <v>SUPPORT</v>
      </c>
      <c r="E142" s="6">
        <v>3162287.75</v>
      </c>
      <c r="F142" s="9">
        <v>41768</v>
      </c>
      <c r="G142" s="2" t="str">
        <f>IF(data[[#This Row],[tenure]], "full time", "part time")</f>
        <v>full time</v>
      </c>
      <c r="H142" s="2" t="str">
        <f>IF(data[[#This Row],[contract_type]], "permanent", "fixed-term")</f>
        <v>permanent</v>
      </c>
      <c r="I142" s="2" t="s">
        <v>22</v>
      </c>
    </row>
    <row r="143" spans="1:9">
      <c r="A143" s="2">
        <v>5680</v>
      </c>
      <c r="B143" s="2" t="s">
        <v>159</v>
      </c>
      <c r="C143" s="2" t="str">
        <f>IF(data[[#This Row],[gender]] = "M", "Male", "Female")</f>
        <v>Female</v>
      </c>
      <c r="D143" s="2" t="str">
        <f>UPPER(data[[#This Row],[department]])</f>
        <v>PRODUCT MANAGEMENT</v>
      </c>
      <c r="E143" s="6">
        <v>1963334.76</v>
      </c>
      <c r="F143" s="9">
        <v>41490</v>
      </c>
      <c r="G143" s="2" t="str">
        <f>IF(data[[#This Row],[tenure]], "full time", "part time")</f>
        <v>part time</v>
      </c>
      <c r="H143" s="2" t="str">
        <f>IF(data[[#This Row],[contract_type]], "permanent", "fixed-term")</f>
        <v>fixed-term</v>
      </c>
      <c r="I143" s="2" t="s">
        <v>22</v>
      </c>
    </row>
    <row r="144" spans="1:9">
      <c r="A144" s="2">
        <v>5689</v>
      </c>
      <c r="B144" s="2" t="s">
        <v>160</v>
      </c>
      <c r="C144" s="2" t="str">
        <f>IF(data[[#This Row],[gender]] = "M", "Male", "Female")</f>
        <v>Male</v>
      </c>
      <c r="D144" s="2" t="str">
        <f>UPPER(data[[#This Row],[department]])</f>
        <v>PRODUCT MANAGEMENT</v>
      </c>
      <c r="E144" s="6">
        <v>2919030.69</v>
      </c>
      <c r="F144" s="9">
        <v>43716</v>
      </c>
      <c r="G144" s="2" t="str">
        <f>IF(data[[#This Row],[tenure]], "full time", "part time")</f>
        <v>full time</v>
      </c>
      <c r="H144" s="2" t="str">
        <f>IF(data[[#This Row],[contract_type]], "permanent", "fixed-term")</f>
        <v>permanent</v>
      </c>
      <c r="I144" s="2" t="s">
        <v>24</v>
      </c>
    </row>
    <row r="145" spans="1:9">
      <c r="A145" s="2">
        <v>5726</v>
      </c>
      <c r="B145" s="2" t="s">
        <v>161</v>
      </c>
      <c r="C145" s="2" t="str">
        <f>IF(data[[#This Row],[gender]] = "M", "Male", "Female")</f>
        <v>Female</v>
      </c>
      <c r="D145" s="2" t="str">
        <f>UPPER(data[[#This Row],[department]])</f>
        <v>PRODUCT MANAGEMENT</v>
      </c>
      <c r="E145" s="6">
        <v>2218584.92</v>
      </c>
      <c r="F145" s="9">
        <v>44599</v>
      </c>
      <c r="G145" s="2" t="str">
        <f>IF(data[[#This Row],[tenure]], "full time", "part time")</f>
        <v>part time</v>
      </c>
      <c r="H145" s="2" t="str">
        <f>IF(data[[#This Row],[contract_type]], "permanent", "fixed-term")</f>
        <v>fixed-term</v>
      </c>
      <c r="I145" s="2" t="s">
        <v>24</v>
      </c>
    </row>
    <row r="146" spans="1:9">
      <c r="A146" s="2">
        <v>5750</v>
      </c>
      <c r="B146" s="2" t="s">
        <v>162</v>
      </c>
      <c r="C146" s="2" t="str">
        <f>IF(data[[#This Row],[gender]] = "M", "Male", "Female")</f>
        <v>Female</v>
      </c>
      <c r="D146" s="2" t="str">
        <f>UPPER(data[[#This Row],[department]])</f>
        <v>SUPPORT</v>
      </c>
      <c r="E146" s="6">
        <v>2651769.39</v>
      </c>
      <c r="F146" s="9">
        <v>44097</v>
      </c>
      <c r="G146" s="2" t="str">
        <f>IF(data[[#This Row],[tenure]], "full time", "part time")</f>
        <v>part time</v>
      </c>
      <c r="H146" s="2" t="str">
        <f>IF(data[[#This Row],[contract_type]], "permanent", "fixed-term")</f>
        <v>permanent</v>
      </c>
      <c r="I146" s="2" t="s">
        <v>62</v>
      </c>
    </row>
    <row r="147" spans="1:9">
      <c r="A147" s="2">
        <v>5795</v>
      </c>
      <c r="B147" s="2" t="s">
        <v>163</v>
      </c>
      <c r="C147" s="2" t="str">
        <f>IF(data[[#This Row],[gender]] = "M", "Male", "Female")</f>
        <v>Male</v>
      </c>
      <c r="D147" s="2" t="str">
        <f>UPPER(data[[#This Row],[department]])</f>
        <v>PRODUCT MANAGEMENT</v>
      </c>
      <c r="E147" s="6">
        <v>4970178.96</v>
      </c>
      <c r="F147" s="9">
        <v>42325</v>
      </c>
      <c r="G147" s="2" t="str">
        <f>IF(data[[#This Row],[tenure]], "full time", "part time")</f>
        <v>part time</v>
      </c>
      <c r="H147" s="2" t="str">
        <f>IF(data[[#This Row],[contract_type]], "permanent", "fixed-term")</f>
        <v>fixed-term</v>
      </c>
      <c r="I147" s="2" t="s">
        <v>10</v>
      </c>
    </row>
    <row r="148" spans="1:9">
      <c r="A148" s="2">
        <v>5822</v>
      </c>
      <c r="B148" s="2" t="s">
        <v>164</v>
      </c>
      <c r="C148" s="2" t="str">
        <f>IF(data[[#This Row],[gender]] = "M", "Male", "Female")</f>
        <v>Male</v>
      </c>
      <c r="D148" s="2" t="str">
        <f>UPPER(data[[#This Row],[department]])</f>
        <v>PRODUCT MANAGEMENT</v>
      </c>
      <c r="E148" s="6">
        <v>4970178.96</v>
      </c>
      <c r="F148" s="9">
        <v>42325</v>
      </c>
      <c r="G148" s="2" t="str">
        <f>IF(data[[#This Row],[tenure]], "full time", "part time")</f>
        <v>part time</v>
      </c>
      <c r="H148" s="2" t="str">
        <f>IF(data[[#This Row],[contract_type]], "permanent", "fixed-term")</f>
        <v>fixed-term</v>
      </c>
      <c r="I148" s="2" t="s">
        <v>18</v>
      </c>
    </row>
    <row r="149" spans="1:9">
      <c r="A149" s="2">
        <v>5962</v>
      </c>
      <c r="B149" s="2" t="s">
        <v>165</v>
      </c>
      <c r="C149" s="2" t="str">
        <f>IF(data[[#This Row],[gender]] = "M", "Male", "Female")</f>
        <v>Female</v>
      </c>
      <c r="D149" s="2" t="str">
        <f>UPPER(data[[#This Row],[department]])</f>
        <v>RESEARCH AND DEVELOPMENT</v>
      </c>
      <c r="E149" s="6">
        <v>4543116.92</v>
      </c>
      <c r="F149" s="9">
        <v>42556</v>
      </c>
      <c r="G149" s="2" t="str">
        <f>IF(data[[#This Row],[tenure]], "full time", "part time")</f>
        <v>full time</v>
      </c>
      <c r="H149" s="2" t="str">
        <f>IF(data[[#This Row],[contract_type]], "permanent", "fixed-term")</f>
        <v>permanent</v>
      </c>
      <c r="I149" s="2" t="s">
        <v>22</v>
      </c>
    </row>
    <row r="150" spans="1:9">
      <c r="A150" s="2">
        <v>5987</v>
      </c>
      <c r="B150" s="2" t="s">
        <v>166</v>
      </c>
      <c r="C150" s="2" t="str">
        <f>IF(data[[#This Row],[gender]] = "M", "Male", "Female")</f>
        <v>Female</v>
      </c>
      <c r="D150" s="2" t="str">
        <f>UPPER(data[[#This Row],[department]])</f>
        <v>LEGAL</v>
      </c>
      <c r="E150" s="6">
        <v>3050752.13</v>
      </c>
      <c r="F150" s="9">
        <v>42227</v>
      </c>
      <c r="G150" s="2" t="str">
        <f>IF(data[[#This Row],[tenure]], "full time", "part time")</f>
        <v>part time</v>
      </c>
      <c r="H150" s="2" t="str">
        <f>IF(data[[#This Row],[contract_type]], "permanent", "fixed-term")</f>
        <v>fixed-term</v>
      </c>
      <c r="I150" s="2" t="s">
        <v>15</v>
      </c>
    </row>
    <row r="151" spans="1:9">
      <c r="A151" s="2">
        <v>5991</v>
      </c>
      <c r="B151" s="2" t="s">
        <v>167</v>
      </c>
      <c r="C151" s="2" t="str">
        <f>IF(data[[#This Row],[gender]] = "M", "Male", "Female")</f>
        <v>Female</v>
      </c>
      <c r="D151" s="2" t="str">
        <f>UPPER(data[[#This Row],[department]])</f>
        <v>LEGAL</v>
      </c>
      <c r="E151" s="6">
        <v>3050752.13</v>
      </c>
      <c r="F151" s="9">
        <v>42227</v>
      </c>
      <c r="G151" s="2" t="str">
        <f>IF(data[[#This Row],[tenure]], "full time", "part time")</f>
        <v>part time</v>
      </c>
      <c r="H151" s="2" t="str">
        <f>IF(data[[#This Row],[contract_type]], "permanent", "fixed-term")</f>
        <v>fixed-term</v>
      </c>
      <c r="I151" s="2" t="s">
        <v>22</v>
      </c>
    </row>
    <row r="152" spans="1:9">
      <c r="A152" s="2">
        <v>5999</v>
      </c>
      <c r="B152" s="2" t="s">
        <v>168</v>
      </c>
      <c r="C152" s="2" t="str">
        <f>IF(data[[#This Row],[gender]] = "M", "Male", "Female")</f>
        <v>Male</v>
      </c>
      <c r="D152" s="2" t="str">
        <f>UPPER(data[[#This Row],[department]])</f>
        <v>MARKETING</v>
      </c>
      <c r="E152" s="6">
        <v>4836004.62</v>
      </c>
      <c r="F152" s="9">
        <v>42634</v>
      </c>
      <c r="G152" s="2" t="str">
        <f>IF(data[[#This Row],[tenure]], "full time", "part time")</f>
        <v>full time</v>
      </c>
      <c r="H152" s="2" t="str">
        <f>IF(data[[#This Row],[contract_type]], "permanent", "fixed-term")</f>
        <v>permanent</v>
      </c>
      <c r="I152" s="2" t="s">
        <v>20</v>
      </c>
    </row>
    <row r="153" spans="1:9">
      <c r="A153" s="2">
        <v>6065</v>
      </c>
      <c r="B153" s="2" t="s">
        <v>169</v>
      </c>
      <c r="C153" s="2" t="str">
        <f>IF(data[[#This Row],[gender]] = "M", "Male", "Female")</f>
        <v>Male</v>
      </c>
      <c r="D153" s="2" t="str">
        <f>UPPER(data[[#This Row],[department]])</f>
        <v>LEGAL</v>
      </c>
      <c r="E153" s="6">
        <v>2805358.92</v>
      </c>
      <c r="F153" s="9">
        <v>42414</v>
      </c>
      <c r="G153" s="2" t="str">
        <f>IF(data[[#This Row],[tenure]], "full time", "part time")</f>
        <v>full time</v>
      </c>
      <c r="H153" s="2" t="str">
        <f>IF(data[[#This Row],[contract_type]], "permanent", "fixed-term")</f>
        <v>fixed-term</v>
      </c>
      <c r="I153" s="2" t="s">
        <v>15</v>
      </c>
    </row>
    <row r="154" spans="1:9">
      <c r="A154" s="2">
        <v>6077</v>
      </c>
      <c r="B154" s="2" t="s">
        <v>170</v>
      </c>
      <c r="C154" s="2" t="str">
        <f>IF(data[[#This Row],[gender]] = "M", "Male", "Female")</f>
        <v>Male</v>
      </c>
      <c r="D154" s="2" t="str">
        <f>UPPER(data[[#This Row],[department]])</f>
        <v>PRODUCT MANAGEMENT</v>
      </c>
      <c r="E154" s="6">
        <v>3020849.46</v>
      </c>
      <c r="F154" s="9">
        <v>43603</v>
      </c>
      <c r="G154" s="2" t="str">
        <f>IF(data[[#This Row],[tenure]], "full time", "part time")</f>
        <v>full time</v>
      </c>
      <c r="H154" s="2" t="str">
        <f>IF(data[[#This Row],[contract_type]], "permanent", "fixed-term")</f>
        <v>fixed-term</v>
      </c>
      <c r="I154" s="2" t="s">
        <v>10</v>
      </c>
    </row>
    <row r="155" spans="1:9">
      <c r="A155" s="2">
        <v>6133</v>
      </c>
      <c r="B155" s="2" t="s">
        <v>171</v>
      </c>
      <c r="C155" s="2" t="str">
        <f>IF(data[[#This Row],[gender]] = "M", "Male", "Female")</f>
        <v>Female</v>
      </c>
      <c r="D155" s="2" t="str">
        <f>UPPER(data[[#This Row],[department]])</f>
        <v>ENGINEERING</v>
      </c>
      <c r="E155" s="6">
        <v>4522126.22</v>
      </c>
      <c r="F155" s="9">
        <v>44315</v>
      </c>
      <c r="G155" s="2" t="str">
        <f>IF(data[[#This Row],[tenure]], "full time", "part time")</f>
        <v>part time</v>
      </c>
      <c r="H155" s="2" t="str">
        <f>IF(data[[#This Row],[contract_type]], "permanent", "fixed-term")</f>
        <v>fixed-term</v>
      </c>
      <c r="I155" s="2" t="s">
        <v>15</v>
      </c>
    </row>
    <row r="156" spans="1:9">
      <c r="A156" s="2">
        <v>6136</v>
      </c>
      <c r="B156" s="2" t="s">
        <v>172</v>
      </c>
      <c r="C156" s="2" t="str">
        <f>IF(data[[#This Row],[gender]] = "M", "Male", "Female")</f>
        <v>Female</v>
      </c>
      <c r="D156" s="2" t="str">
        <f>UPPER(data[[#This Row],[department]])</f>
        <v>SERVICES</v>
      </c>
      <c r="E156" s="6">
        <v>4264990.88</v>
      </c>
      <c r="F156" s="9">
        <v>41954</v>
      </c>
      <c r="G156" s="2" t="str">
        <f>IF(data[[#This Row],[tenure]], "full time", "part time")</f>
        <v>part time</v>
      </c>
      <c r="H156" s="2" t="str">
        <f>IF(data[[#This Row],[contract_type]], "permanent", "fixed-term")</f>
        <v>fixed-term</v>
      </c>
      <c r="I156" s="2" t="s">
        <v>12</v>
      </c>
    </row>
    <row r="157" spans="1:9">
      <c r="A157" s="2">
        <v>6140</v>
      </c>
      <c r="B157" s="2" t="s">
        <v>173</v>
      </c>
      <c r="C157" s="2" t="str">
        <f>IF(data[[#This Row],[gender]] = "M", "Male", "Female")</f>
        <v>Male</v>
      </c>
      <c r="D157" s="2" t="str">
        <f>UPPER(data[[#This Row],[department]])</f>
        <v>SALES</v>
      </c>
      <c r="E157" s="6">
        <v>3528990.3</v>
      </c>
      <c r="F157" s="9">
        <v>42488</v>
      </c>
      <c r="G157" s="2" t="str">
        <f>IF(data[[#This Row],[tenure]], "full time", "part time")</f>
        <v>part time</v>
      </c>
      <c r="H157" s="2" t="str">
        <f>IF(data[[#This Row],[contract_type]], "permanent", "fixed-term")</f>
        <v>permanent</v>
      </c>
      <c r="I157" s="2" t="s">
        <v>18</v>
      </c>
    </row>
    <row r="158" spans="1:9">
      <c r="A158" s="2">
        <v>6140</v>
      </c>
      <c r="B158" s="2" t="s">
        <v>174</v>
      </c>
      <c r="C158" s="2" t="str">
        <f>IF(data[[#This Row],[gender]] = "M", "Male", "Female")</f>
        <v>Male</v>
      </c>
      <c r="D158" s="2" t="str">
        <f>UPPER(data[[#This Row],[department]])</f>
        <v>BUSINESS DEVELOPMENT</v>
      </c>
      <c r="E158" s="6">
        <v>4665179.1500000004</v>
      </c>
      <c r="F158" s="9">
        <v>44675</v>
      </c>
      <c r="G158" s="2" t="str">
        <f>IF(data[[#This Row],[tenure]], "full time", "part time")</f>
        <v>full time</v>
      </c>
      <c r="H158" s="2" t="str">
        <f>IF(data[[#This Row],[contract_type]], "permanent", "fixed-term")</f>
        <v>permanent</v>
      </c>
      <c r="I158" s="2" t="s">
        <v>27</v>
      </c>
    </row>
    <row r="159" spans="1:9">
      <c r="A159" s="2">
        <v>6217</v>
      </c>
      <c r="B159" s="2" t="s">
        <v>175</v>
      </c>
      <c r="C159" s="2" t="str">
        <f>IF(data[[#This Row],[gender]] = "M", "Male", "Female")</f>
        <v>Female</v>
      </c>
      <c r="D159" s="2" t="str">
        <f>UPPER(data[[#This Row],[department]])</f>
        <v>BUSINESS DEVELOPMENT</v>
      </c>
      <c r="E159" s="6">
        <v>4579858.37</v>
      </c>
      <c r="F159" s="9">
        <v>42515</v>
      </c>
      <c r="G159" s="2" t="str">
        <f>IF(data[[#This Row],[tenure]], "full time", "part time")</f>
        <v>part time</v>
      </c>
      <c r="H159" s="2" t="str">
        <f>IF(data[[#This Row],[contract_type]], "permanent", "fixed-term")</f>
        <v>permanent</v>
      </c>
      <c r="I159" s="2" t="s">
        <v>24</v>
      </c>
    </row>
    <row r="160" spans="1:9">
      <c r="A160" s="2">
        <v>6247</v>
      </c>
      <c r="B160" s="2" t="s">
        <v>176</v>
      </c>
      <c r="C160" s="2" t="str">
        <f>IF(data[[#This Row],[gender]] = "M", "Male", "Female")</f>
        <v>Female</v>
      </c>
      <c r="D160" s="2" t="str">
        <f>UPPER(data[[#This Row],[department]])</f>
        <v>HUMAN RESOURCES</v>
      </c>
      <c r="E160" s="6">
        <v>4896967.41</v>
      </c>
      <c r="F160" s="9">
        <v>42127</v>
      </c>
      <c r="G160" s="2" t="str">
        <f>IF(data[[#This Row],[tenure]], "full time", "part time")</f>
        <v>full time</v>
      </c>
      <c r="H160" s="2" t="str">
        <f>IF(data[[#This Row],[contract_type]], "permanent", "fixed-term")</f>
        <v>permanent</v>
      </c>
      <c r="I160" s="2" t="s">
        <v>12</v>
      </c>
    </row>
    <row r="161" spans="1:9">
      <c r="A161" s="2">
        <v>6300</v>
      </c>
      <c r="B161" s="2" t="s">
        <v>177</v>
      </c>
      <c r="C161" s="2" t="str">
        <f>IF(data[[#This Row],[gender]] = "M", "Male", "Female")</f>
        <v>Male</v>
      </c>
      <c r="D161" s="2" t="str">
        <f>UPPER(data[[#This Row],[department]])</f>
        <v>ENGINEERING</v>
      </c>
      <c r="E161" s="6">
        <v>2952956.08</v>
      </c>
      <c r="F161" s="9">
        <v>42113</v>
      </c>
      <c r="G161" s="2" t="str">
        <f>IF(data[[#This Row],[tenure]], "full time", "part time")</f>
        <v>part time</v>
      </c>
      <c r="H161" s="2" t="str">
        <f>IF(data[[#This Row],[contract_type]], "permanent", "fixed-term")</f>
        <v>fixed-term</v>
      </c>
      <c r="I161" s="2" t="s">
        <v>22</v>
      </c>
    </row>
    <row r="162" spans="1:9">
      <c r="A162" s="2">
        <v>6315</v>
      </c>
      <c r="B162" s="2" t="s">
        <v>178</v>
      </c>
      <c r="C162" s="2" t="str">
        <f>IF(data[[#This Row],[gender]] = "M", "Male", "Female")</f>
        <v>Female</v>
      </c>
      <c r="D162" s="2" t="str">
        <f>UPPER(data[[#This Row],[department]])</f>
        <v>SALES</v>
      </c>
      <c r="E162" s="6">
        <v>3257776.45</v>
      </c>
      <c r="F162" s="9">
        <v>40582</v>
      </c>
      <c r="G162" s="2" t="str">
        <f>IF(data[[#This Row],[tenure]], "full time", "part time")</f>
        <v>part time</v>
      </c>
      <c r="H162" s="2" t="str">
        <f>IF(data[[#This Row],[contract_type]], "permanent", "fixed-term")</f>
        <v>permanent</v>
      </c>
      <c r="I162" s="2" t="s">
        <v>18</v>
      </c>
    </row>
    <row r="163" spans="1:9">
      <c r="A163" s="2">
        <v>6315</v>
      </c>
      <c r="B163" s="2" t="s">
        <v>179</v>
      </c>
      <c r="C163" s="2" t="str">
        <f>IF(data[[#This Row],[gender]] = "M", "Male", "Female")</f>
        <v>Male</v>
      </c>
      <c r="D163" s="2" t="str">
        <f>UPPER(data[[#This Row],[department]])</f>
        <v>PRODUCT MANAGEMENT</v>
      </c>
      <c r="E163" s="6">
        <v>4497285.51</v>
      </c>
      <c r="F163" s="9">
        <v>42444</v>
      </c>
      <c r="G163" s="2" t="str">
        <f>IF(data[[#This Row],[tenure]], "full time", "part time")</f>
        <v>full time</v>
      </c>
      <c r="H163" s="2" t="str">
        <f>IF(data[[#This Row],[contract_type]], "permanent", "fixed-term")</f>
        <v>fixed-term</v>
      </c>
      <c r="I163" s="2" t="s">
        <v>24</v>
      </c>
    </row>
    <row r="164" spans="1:9">
      <c r="A164" s="2">
        <v>6330</v>
      </c>
      <c r="B164" s="2" t="s">
        <v>180</v>
      </c>
      <c r="C164" s="2" t="str">
        <f>IF(data[[#This Row],[gender]] = "M", "Male", "Female")</f>
        <v>Female</v>
      </c>
      <c r="D164" s="2" t="str">
        <f>UPPER(data[[#This Row],[department]])</f>
        <v>MARKETING</v>
      </c>
      <c r="E164" s="6">
        <v>1803190.83</v>
      </c>
      <c r="F164" s="9">
        <v>44059</v>
      </c>
      <c r="G164" s="2" t="str">
        <f>IF(data[[#This Row],[tenure]], "full time", "part time")</f>
        <v>part time</v>
      </c>
      <c r="H164" s="2" t="str">
        <f>IF(data[[#This Row],[contract_type]], "permanent", "fixed-term")</f>
        <v>fixed-term</v>
      </c>
      <c r="I164" s="2" t="s">
        <v>18</v>
      </c>
    </row>
    <row r="165" spans="1:9">
      <c r="A165" s="2">
        <v>6414</v>
      </c>
      <c r="B165" s="2" t="s">
        <v>181</v>
      </c>
      <c r="C165" s="2" t="str">
        <f>IF(data[[#This Row],[gender]] = "M", "Male", "Female")</f>
        <v>Female</v>
      </c>
      <c r="D165" s="2" t="str">
        <f>UPPER(data[[#This Row],[department]])</f>
        <v>MARKETING</v>
      </c>
      <c r="E165" s="6">
        <v>1803190.83</v>
      </c>
      <c r="F165" s="9">
        <v>44059</v>
      </c>
      <c r="G165" s="2" t="str">
        <f>IF(data[[#This Row],[tenure]], "full time", "part time")</f>
        <v>part time</v>
      </c>
      <c r="H165" s="2" t="str">
        <f>IF(data[[#This Row],[contract_type]], "permanent", "fixed-term")</f>
        <v>fixed-term</v>
      </c>
      <c r="I165" s="2" t="s">
        <v>12</v>
      </c>
    </row>
    <row r="166" spans="1:9">
      <c r="A166" s="2">
        <v>6450</v>
      </c>
      <c r="B166" s="2" t="s">
        <v>182</v>
      </c>
      <c r="C166" s="2" t="str">
        <f>IF(data[[#This Row],[gender]] = "M", "Male", "Female")</f>
        <v>Male</v>
      </c>
      <c r="D166" s="2" t="str">
        <f>UPPER(data[[#This Row],[department]])</f>
        <v>LEGAL</v>
      </c>
      <c r="E166" s="6">
        <v>3788769.91</v>
      </c>
      <c r="F166" s="9">
        <v>43518</v>
      </c>
      <c r="G166" s="2" t="str">
        <f>IF(data[[#This Row],[tenure]], "full time", "part time")</f>
        <v>full time</v>
      </c>
      <c r="H166" s="2" t="str">
        <f>IF(data[[#This Row],[contract_type]], "permanent", "fixed-term")</f>
        <v>fixed-term</v>
      </c>
      <c r="I166" s="2" t="s">
        <v>10</v>
      </c>
    </row>
    <row r="167" spans="1:9">
      <c r="A167" s="2">
        <v>6450</v>
      </c>
      <c r="B167" s="2" t="s">
        <v>183</v>
      </c>
      <c r="C167" s="2" t="str">
        <f>IF(data[[#This Row],[gender]] = "M", "Male", "Female")</f>
        <v>Female</v>
      </c>
      <c r="D167" s="2" t="str">
        <f>UPPER(data[[#This Row],[department]])</f>
        <v>LEGAL</v>
      </c>
      <c r="E167" s="6">
        <v>5123510.78</v>
      </c>
      <c r="F167" s="9">
        <v>40722</v>
      </c>
      <c r="G167" s="2" t="str">
        <f>IF(data[[#This Row],[tenure]], "full time", "part time")</f>
        <v>part time</v>
      </c>
      <c r="H167" s="2" t="str">
        <f>IF(data[[#This Row],[contract_type]], "permanent", "fixed-term")</f>
        <v>fixed-term</v>
      </c>
      <c r="I167" s="2" t="s">
        <v>18</v>
      </c>
    </row>
    <row r="168" spans="1:9">
      <c r="A168" s="2">
        <v>6521</v>
      </c>
      <c r="B168" s="2" t="s">
        <v>184</v>
      </c>
      <c r="C168" s="2" t="str">
        <f>IF(data[[#This Row],[gender]] = "M", "Male", "Female")</f>
        <v>Male</v>
      </c>
      <c r="D168" s="2" t="str">
        <f>UPPER(data[[#This Row],[department]])</f>
        <v>MARKETING</v>
      </c>
      <c r="E168" s="6">
        <v>2856686.61</v>
      </c>
      <c r="F168" s="9">
        <v>40608</v>
      </c>
      <c r="G168" s="2" t="str">
        <f>IF(data[[#This Row],[tenure]], "full time", "part time")</f>
        <v>full time</v>
      </c>
      <c r="H168" s="2" t="str">
        <f>IF(data[[#This Row],[contract_type]], "permanent", "fixed-term")</f>
        <v>permanent</v>
      </c>
      <c r="I168" s="2" t="s">
        <v>10</v>
      </c>
    </row>
    <row r="169" spans="1:9">
      <c r="A169" s="2">
        <v>6567</v>
      </c>
      <c r="B169" s="2" t="s">
        <v>185</v>
      </c>
      <c r="C169" s="2" t="str">
        <f>IF(data[[#This Row],[gender]] = "M", "Male", "Female")</f>
        <v>Male</v>
      </c>
      <c r="D169" s="2" t="str">
        <f>UPPER(data[[#This Row],[department]])</f>
        <v>PRODUCT MANAGEMENT</v>
      </c>
      <c r="E169" s="6">
        <v>4408836.33</v>
      </c>
      <c r="F169" s="9">
        <v>41195</v>
      </c>
      <c r="G169" s="2" t="str">
        <f>IF(data[[#This Row],[tenure]], "full time", "part time")</f>
        <v>part time</v>
      </c>
      <c r="H169" s="2" t="str">
        <f>IF(data[[#This Row],[contract_type]], "permanent", "fixed-term")</f>
        <v>fixed-term</v>
      </c>
      <c r="I169" s="2" t="s">
        <v>12</v>
      </c>
    </row>
    <row r="170" spans="1:9">
      <c r="A170" s="2">
        <v>6582</v>
      </c>
      <c r="B170" s="2" t="s">
        <v>186</v>
      </c>
      <c r="C170" s="2" t="str">
        <f>IF(data[[#This Row],[gender]] = "M", "Male", "Female")</f>
        <v>Female</v>
      </c>
      <c r="D170" s="2" t="str">
        <f>UPPER(data[[#This Row],[department]])</f>
        <v>SUPPORT</v>
      </c>
      <c r="E170" s="6">
        <v>3648801.84</v>
      </c>
      <c r="F170" s="9">
        <v>43208</v>
      </c>
      <c r="G170" s="2" t="str">
        <f>IF(data[[#This Row],[tenure]], "full time", "part time")</f>
        <v>full time</v>
      </c>
      <c r="H170" s="2" t="str">
        <f>IF(data[[#This Row],[contract_type]], "permanent", "fixed-term")</f>
        <v>permanent</v>
      </c>
      <c r="I170" s="2" t="s">
        <v>10</v>
      </c>
    </row>
    <row r="171" spans="1:9">
      <c r="A171" s="2">
        <v>6657</v>
      </c>
      <c r="B171" s="2" t="s">
        <v>187</v>
      </c>
      <c r="C171" s="2" t="str">
        <f>IF(data[[#This Row],[gender]] = "M", "Male", "Female")</f>
        <v>Male</v>
      </c>
      <c r="D171" s="2" t="str">
        <f>UPPER(data[[#This Row],[department]])</f>
        <v>MARKETING</v>
      </c>
      <c r="E171" s="6">
        <v>2917255.88</v>
      </c>
      <c r="F171" s="9">
        <v>44835</v>
      </c>
      <c r="G171" s="2" t="str">
        <f>IF(data[[#This Row],[tenure]], "full time", "part time")</f>
        <v>full time</v>
      </c>
      <c r="H171" s="2" t="str">
        <f>IF(data[[#This Row],[contract_type]], "permanent", "fixed-term")</f>
        <v>fixed-term</v>
      </c>
      <c r="I171" s="2" t="s">
        <v>15</v>
      </c>
    </row>
    <row r="172" spans="1:9">
      <c r="A172" s="2">
        <v>6669</v>
      </c>
      <c r="B172" s="2" t="s">
        <v>188</v>
      </c>
      <c r="C172" s="2" t="str">
        <f>IF(data[[#This Row],[gender]] = "M", "Male", "Female")</f>
        <v>Female</v>
      </c>
      <c r="D172" s="2" t="str">
        <f>UPPER(data[[#This Row],[department]])</f>
        <v>SUPPORT</v>
      </c>
      <c r="E172" s="6">
        <v>2504274.94</v>
      </c>
      <c r="F172" s="9">
        <v>43829</v>
      </c>
      <c r="G172" s="2" t="str">
        <f>IF(data[[#This Row],[tenure]], "full time", "part time")</f>
        <v>full time</v>
      </c>
      <c r="H172" s="2" t="str">
        <f>IF(data[[#This Row],[contract_type]], "permanent", "fixed-term")</f>
        <v>permanent</v>
      </c>
      <c r="I172" s="2" t="s">
        <v>15</v>
      </c>
    </row>
    <row r="173" spans="1:9">
      <c r="A173" s="2">
        <v>6714</v>
      </c>
      <c r="B173" s="2" t="s">
        <v>189</v>
      </c>
      <c r="C173" s="2" t="str">
        <f>IF(data[[#This Row],[gender]] = "M", "Male", "Female")</f>
        <v>Male</v>
      </c>
      <c r="D173" s="2" t="str">
        <f>UPPER(data[[#This Row],[department]])</f>
        <v>LEGAL</v>
      </c>
      <c r="E173" s="6">
        <v>3322197.25</v>
      </c>
      <c r="F173" s="9">
        <v>43022</v>
      </c>
      <c r="G173" s="2" t="str">
        <f>IF(data[[#This Row],[tenure]], "full time", "part time")</f>
        <v>part time</v>
      </c>
      <c r="H173" s="2" t="str">
        <f>IF(data[[#This Row],[contract_type]], "permanent", "fixed-term")</f>
        <v>fixed-term</v>
      </c>
      <c r="I173" s="2" t="s">
        <v>15</v>
      </c>
    </row>
    <row r="174" spans="1:9">
      <c r="A174" s="2">
        <v>6780</v>
      </c>
      <c r="B174" s="2" t="s">
        <v>190</v>
      </c>
      <c r="C174" s="2" t="str">
        <f>IF(data[[#This Row],[gender]] = "M", "Male", "Female")</f>
        <v>Male</v>
      </c>
      <c r="D174" s="2" t="str">
        <f>UPPER(data[[#This Row],[department]])</f>
        <v>BUSINESS DEVELOPMENT</v>
      </c>
      <c r="E174" s="6">
        <v>5132572.82</v>
      </c>
      <c r="F174" s="9">
        <v>41353</v>
      </c>
      <c r="G174" s="2" t="str">
        <f>IF(data[[#This Row],[tenure]], "full time", "part time")</f>
        <v>part time</v>
      </c>
      <c r="H174" s="2" t="str">
        <f>IF(data[[#This Row],[contract_type]], "permanent", "fixed-term")</f>
        <v>permanent</v>
      </c>
      <c r="I174" s="2" t="s">
        <v>27</v>
      </c>
    </row>
    <row r="175" spans="1:9">
      <c r="A175" s="2">
        <v>6833</v>
      </c>
      <c r="B175" s="2" t="s">
        <v>191</v>
      </c>
      <c r="C175" s="2" t="str">
        <f>IF(data[[#This Row],[gender]] = "M", "Male", "Female")</f>
        <v>Male</v>
      </c>
      <c r="D175" s="2" t="str">
        <f>UPPER(data[[#This Row],[department]])</f>
        <v>ENGINEERING</v>
      </c>
      <c r="E175" s="6">
        <v>2342554.4500000002</v>
      </c>
      <c r="F175" s="9">
        <v>41665</v>
      </c>
      <c r="G175" s="2" t="str">
        <f>IF(data[[#This Row],[tenure]], "full time", "part time")</f>
        <v>full time</v>
      </c>
      <c r="H175" s="2" t="str">
        <f>IF(data[[#This Row],[contract_type]], "permanent", "fixed-term")</f>
        <v>permanent</v>
      </c>
      <c r="I175" s="2" t="s">
        <v>22</v>
      </c>
    </row>
    <row r="176" spans="1:9">
      <c r="A176" s="2">
        <v>6846</v>
      </c>
      <c r="B176" s="2" t="s">
        <v>192</v>
      </c>
      <c r="C176" s="2" t="str">
        <f>IF(data[[#This Row],[gender]] = "M", "Male", "Female")</f>
        <v>Female</v>
      </c>
      <c r="D176" s="2" t="str">
        <f>UPPER(data[[#This Row],[department]])</f>
        <v>ENGINEERING</v>
      </c>
      <c r="E176" s="6">
        <v>4061822.42</v>
      </c>
      <c r="F176" s="9">
        <v>44381</v>
      </c>
      <c r="G176" s="2" t="str">
        <f>IF(data[[#This Row],[tenure]], "full time", "part time")</f>
        <v>part time</v>
      </c>
      <c r="H176" s="2" t="str">
        <f>IF(data[[#This Row],[contract_type]], "permanent", "fixed-term")</f>
        <v>permanent</v>
      </c>
      <c r="I176" s="2" t="s">
        <v>18</v>
      </c>
    </row>
    <row r="177" spans="1:9">
      <c r="A177" s="2">
        <v>6852</v>
      </c>
      <c r="B177" s="2" t="s">
        <v>193</v>
      </c>
      <c r="C177" s="2" t="str">
        <f>IF(data[[#This Row],[gender]] = "M", "Male", "Female")</f>
        <v>Male</v>
      </c>
      <c r="D177" s="2" t="str">
        <f>UPPER(data[[#This Row],[department]])</f>
        <v>SUPPORT</v>
      </c>
      <c r="E177" s="6">
        <v>2933579.69</v>
      </c>
      <c r="F177" s="9">
        <v>42020</v>
      </c>
      <c r="G177" s="2" t="str">
        <f>IF(data[[#This Row],[tenure]], "full time", "part time")</f>
        <v>full time</v>
      </c>
      <c r="H177" s="2" t="str">
        <f>IF(data[[#This Row],[contract_type]], "permanent", "fixed-term")</f>
        <v>fixed-term</v>
      </c>
      <c r="I177" s="2" t="s">
        <v>20</v>
      </c>
    </row>
    <row r="178" spans="1:9">
      <c r="A178" s="2">
        <v>6864</v>
      </c>
      <c r="B178" s="2" t="s">
        <v>194</v>
      </c>
      <c r="C178" s="2" t="str">
        <f>IF(data[[#This Row],[gender]] = "M", "Male", "Female")</f>
        <v>Female</v>
      </c>
      <c r="D178" s="2" t="str">
        <f>UPPER(data[[#This Row],[department]])</f>
        <v>PRODUCT MANAGEMENT</v>
      </c>
      <c r="E178" s="6">
        <v>5015594.84</v>
      </c>
      <c r="F178" s="9">
        <v>41128</v>
      </c>
      <c r="G178" s="2" t="str">
        <f>IF(data[[#This Row],[tenure]], "full time", "part time")</f>
        <v>part time</v>
      </c>
      <c r="H178" s="2" t="str">
        <f>IF(data[[#This Row],[contract_type]], "permanent", "fixed-term")</f>
        <v>permanent</v>
      </c>
      <c r="I178" s="2" t="s">
        <v>24</v>
      </c>
    </row>
    <row r="179" spans="1:9">
      <c r="A179" s="2">
        <v>6936</v>
      </c>
      <c r="B179" s="2" t="s">
        <v>195</v>
      </c>
      <c r="C179" s="2" t="str">
        <f>IF(data[[#This Row],[gender]] = "M", "Male", "Female")</f>
        <v>Female</v>
      </c>
      <c r="D179" s="2" t="str">
        <f>UPPER(data[[#This Row],[department]])</f>
        <v>RESEARCH AND DEVELOPMENT</v>
      </c>
      <c r="E179" s="6">
        <v>4487246.59</v>
      </c>
      <c r="F179" s="9">
        <v>42083</v>
      </c>
      <c r="G179" s="2" t="str">
        <f>IF(data[[#This Row],[tenure]], "full time", "part time")</f>
        <v>full time</v>
      </c>
      <c r="H179" s="2" t="str">
        <f>IF(data[[#This Row],[contract_type]], "permanent", "fixed-term")</f>
        <v>permanent</v>
      </c>
      <c r="I179" s="2" t="s">
        <v>18</v>
      </c>
    </row>
    <row r="180" spans="1:9">
      <c r="A180" s="2">
        <v>6962</v>
      </c>
      <c r="B180" s="2" t="s">
        <v>196</v>
      </c>
      <c r="C180" s="2" t="str">
        <f>IF(data[[#This Row],[gender]] = "M", "Male", "Female")</f>
        <v>Female</v>
      </c>
      <c r="D180" s="2" t="str">
        <f>UPPER(data[[#This Row],[department]])</f>
        <v>RESEARCH AND DEVELOPMENT</v>
      </c>
      <c r="E180" s="6">
        <v>4487246.59</v>
      </c>
      <c r="F180" s="9">
        <v>42083</v>
      </c>
      <c r="G180" s="2" t="str">
        <f>IF(data[[#This Row],[tenure]], "full time", "part time")</f>
        <v>full time</v>
      </c>
      <c r="H180" s="2" t="str">
        <f>IF(data[[#This Row],[contract_type]], "permanent", "fixed-term")</f>
        <v>permanent</v>
      </c>
      <c r="I180" s="2" t="s">
        <v>20</v>
      </c>
    </row>
    <row r="181" spans="1:9">
      <c r="A181" s="2">
        <v>6976</v>
      </c>
      <c r="B181" s="2" t="s">
        <v>197</v>
      </c>
      <c r="C181" s="2" t="str">
        <f>IF(data[[#This Row],[gender]] = "M", "Male", "Female")</f>
        <v>Female</v>
      </c>
      <c r="D181" s="2" t="str">
        <f>UPPER(data[[#This Row],[department]])</f>
        <v>BUSINESS DEVELOPMENT</v>
      </c>
      <c r="E181" s="6">
        <v>4721278.74</v>
      </c>
      <c r="F181" s="9">
        <v>43992</v>
      </c>
      <c r="G181" s="2" t="str">
        <f>IF(data[[#This Row],[tenure]], "full time", "part time")</f>
        <v>full time</v>
      </c>
      <c r="H181" s="2" t="str">
        <f>IF(data[[#This Row],[contract_type]], "permanent", "fixed-term")</f>
        <v>fixed-term</v>
      </c>
      <c r="I181" s="2" t="s">
        <v>18</v>
      </c>
    </row>
    <row r="182" spans="1:9">
      <c r="A182" s="2">
        <v>7044</v>
      </c>
      <c r="B182" s="2" t="s">
        <v>198</v>
      </c>
      <c r="C182" s="2" t="str">
        <f>IF(data[[#This Row],[gender]] = "M", "Male", "Female")</f>
        <v>Male</v>
      </c>
      <c r="D182" s="2" t="str">
        <f>UPPER(data[[#This Row],[department]])</f>
        <v>LEGAL</v>
      </c>
      <c r="E182" s="6">
        <v>4288562.82</v>
      </c>
      <c r="F182" s="9">
        <v>41565</v>
      </c>
      <c r="G182" s="2" t="str">
        <f>IF(data[[#This Row],[tenure]], "full time", "part time")</f>
        <v>full time</v>
      </c>
      <c r="H182" s="2" t="str">
        <f>IF(data[[#This Row],[contract_type]], "permanent", "fixed-term")</f>
        <v>fixed-term</v>
      </c>
      <c r="I182" s="2" t="s">
        <v>10</v>
      </c>
    </row>
    <row r="183" spans="1:9">
      <c r="A183" s="2">
        <v>7078</v>
      </c>
      <c r="B183" s="2" t="s">
        <v>199</v>
      </c>
      <c r="C183" s="2" t="str">
        <f>IF(data[[#This Row],[gender]] = "M", "Male", "Female")</f>
        <v>Female</v>
      </c>
      <c r="D183" s="2" t="str">
        <f>UPPER(data[[#This Row],[department]])</f>
        <v>RESEARCH AND DEVELOPMENT</v>
      </c>
      <c r="E183" s="6">
        <v>5069903.59</v>
      </c>
      <c r="F183" s="9">
        <v>40894</v>
      </c>
      <c r="G183" s="2" t="str">
        <f>IF(data[[#This Row],[tenure]], "full time", "part time")</f>
        <v>full time</v>
      </c>
      <c r="H183" s="2" t="str">
        <f>IF(data[[#This Row],[contract_type]], "permanent", "fixed-term")</f>
        <v>fixed-term</v>
      </c>
      <c r="I183" s="2" t="s">
        <v>22</v>
      </c>
    </row>
    <row r="184" spans="1:9">
      <c r="A184" s="2">
        <v>7098</v>
      </c>
      <c r="B184" s="2" t="s">
        <v>200</v>
      </c>
      <c r="C184" s="2" t="str">
        <f>IF(data[[#This Row],[gender]] = "M", "Male", "Female")</f>
        <v>Male</v>
      </c>
      <c r="D184" s="2" t="str">
        <f>UPPER(data[[#This Row],[department]])</f>
        <v>RESEARCH AND DEVELOPMENT</v>
      </c>
      <c r="E184" s="6">
        <v>2494101.4700000002</v>
      </c>
      <c r="F184" s="9">
        <v>41359</v>
      </c>
      <c r="G184" s="2" t="str">
        <f>IF(data[[#This Row],[tenure]], "full time", "part time")</f>
        <v>part time</v>
      </c>
      <c r="H184" s="2" t="str">
        <f>IF(data[[#This Row],[contract_type]], "permanent", "fixed-term")</f>
        <v>permanent</v>
      </c>
      <c r="I184" s="2" t="s">
        <v>27</v>
      </c>
    </row>
    <row r="185" spans="1:9">
      <c r="A185" s="2">
        <v>7199</v>
      </c>
      <c r="B185" s="2" t="s">
        <v>201</v>
      </c>
      <c r="C185" s="2" t="str">
        <f>IF(data[[#This Row],[gender]] = "M", "Male", "Female")</f>
        <v>Male</v>
      </c>
      <c r="D185" s="2" t="str">
        <f>UPPER(data[[#This Row],[department]])</f>
        <v>PRODUCT MANAGEMENT</v>
      </c>
      <c r="E185" s="6">
        <v>3936575.88</v>
      </c>
      <c r="F185" s="9">
        <v>42164</v>
      </c>
      <c r="G185" s="2" t="str">
        <f>IF(data[[#This Row],[tenure]], "full time", "part time")</f>
        <v>full time</v>
      </c>
      <c r="H185" s="2" t="str">
        <f>IF(data[[#This Row],[contract_type]], "permanent", "fixed-term")</f>
        <v>fixed-term</v>
      </c>
      <c r="I185" s="2" t="s">
        <v>24</v>
      </c>
    </row>
    <row r="186" spans="1:9">
      <c r="A186" s="2">
        <v>7230</v>
      </c>
      <c r="B186" s="2" t="s">
        <v>202</v>
      </c>
      <c r="C186" s="2" t="str">
        <f>IF(data[[#This Row],[gender]] = "M", "Male", "Female")</f>
        <v>Female</v>
      </c>
      <c r="D186" s="2" t="str">
        <f>UPPER(data[[#This Row],[department]])</f>
        <v>LEGAL</v>
      </c>
      <c r="E186" s="6">
        <v>2029662.38</v>
      </c>
      <c r="F186" s="9">
        <v>44019</v>
      </c>
      <c r="G186" s="2" t="str">
        <f>IF(data[[#This Row],[tenure]], "full time", "part time")</f>
        <v>full time</v>
      </c>
      <c r="H186" s="2" t="str">
        <f>IF(data[[#This Row],[contract_type]], "permanent", "fixed-term")</f>
        <v>permanent</v>
      </c>
      <c r="I186" s="2" t="s">
        <v>20</v>
      </c>
    </row>
    <row r="187" spans="1:9">
      <c r="A187" s="2">
        <v>7358</v>
      </c>
      <c r="B187" s="2" t="s">
        <v>203</v>
      </c>
      <c r="C187" s="2" t="str">
        <f>IF(data[[#This Row],[gender]] = "M", "Male", "Female")</f>
        <v>Female</v>
      </c>
      <c r="D187" s="2" t="str">
        <f>UPPER(data[[#This Row],[department]])</f>
        <v>LEGAL</v>
      </c>
      <c r="E187" s="6">
        <v>2029662.38</v>
      </c>
      <c r="F187" s="9">
        <v>44019</v>
      </c>
      <c r="G187" s="2" t="str">
        <f>IF(data[[#This Row],[tenure]], "full time", "part time")</f>
        <v>full time</v>
      </c>
      <c r="H187" s="2" t="str">
        <f>IF(data[[#This Row],[contract_type]], "permanent", "fixed-term")</f>
        <v>permanent</v>
      </c>
      <c r="I187" s="2" t="s">
        <v>10</v>
      </c>
    </row>
    <row r="188" spans="1:9">
      <c r="A188" s="2">
        <v>7359</v>
      </c>
      <c r="B188" s="2" t="s">
        <v>204</v>
      </c>
      <c r="C188" s="2" t="str">
        <f>IF(data[[#This Row],[gender]] = "M", "Male", "Female")</f>
        <v>Female</v>
      </c>
      <c r="D188" s="2" t="str">
        <f>UPPER(data[[#This Row],[department]])</f>
        <v>LEGAL</v>
      </c>
      <c r="E188" s="6">
        <v>3396111.91</v>
      </c>
      <c r="F188" s="9">
        <v>42447</v>
      </c>
      <c r="G188" s="2" t="str">
        <f>IF(data[[#This Row],[tenure]], "full time", "part time")</f>
        <v>full time</v>
      </c>
      <c r="H188" s="2" t="str">
        <f>IF(data[[#This Row],[contract_type]], "permanent", "fixed-term")</f>
        <v>fixed-term</v>
      </c>
      <c r="I188" s="2" t="s">
        <v>18</v>
      </c>
    </row>
    <row r="189" spans="1:9">
      <c r="A189" s="2">
        <v>7381</v>
      </c>
      <c r="B189" s="2" t="s">
        <v>205</v>
      </c>
      <c r="C189" s="2" t="str">
        <f>IF(data[[#This Row],[gender]] = "M", "Male", "Female")</f>
        <v>Female</v>
      </c>
      <c r="D189" s="2" t="str">
        <f>UPPER(data[[#This Row],[department]])</f>
        <v>RESEARCH AND DEVELOPMENT</v>
      </c>
      <c r="E189" s="6">
        <v>3873724.72</v>
      </c>
      <c r="F189" s="9">
        <v>41401</v>
      </c>
      <c r="G189" s="2" t="str">
        <f>IF(data[[#This Row],[tenure]], "full time", "part time")</f>
        <v>full time</v>
      </c>
      <c r="H189" s="2" t="str">
        <f>IF(data[[#This Row],[contract_type]], "permanent", "fixed-term")</f>
        <v>fixed-term</v>
      </c>
      <c r="I189" s="2" t="s">
        <v>10</v>
      </c>
    </row>
    <row r="190" spans="1:9">
      <c r="A190" s="2">
        <v>7383</v>
      </c>
      <c r="B190" s="2" t="s">
        <v>206</v>
      </c>
      <c r="C190" s="2" t="str">
        <f>IF(data[[#This Row],[gender]] = "M", "Male", "Female")</f>
        <v>Female</v>
      </c>
      <c r="D190" s="2" t="str">
        <f>UPPER(data[[#This Row],[department]])</f>
        <v>PRODUCT MANAGEMENT</v>
      </c>
      <c r="E190" s="6">
        <v>4975692.07</v>
      </c>
      <c r="F190" s="9">
        <v>43172</v>
      </c>
      <c r="G190" s="2" t="str">
        <f>IF(data[[#This Row],[tenure]], "full time", "part time")</f>
        <v>full time</v>
      </c>
      <c r="H190" s="2" t="str">
        <f>IF(data[[#This Row],[contract_type]], "permanent", "fixed-term")</f>
        <v>fixed-term</v>
      </c>
      <c r="I190" s="2" t="s">
        <v>18</v>
      </c>
    </row>
    <row r="191" spans="1:9">
      <c r="A191" s="2">
        <v>7397</v>
      </c>
      <c r="B191" s="2" t="s">
        <v>207</v>
      </c>
      <c r="C191" s="2" t="str">
        <f>IF(data[[#This Row],[gender]] = "M", "Male", "Female")</f>
        <v>Male</v>
      </c>
      <c r="D191" s="2" t="str">
        <f>UPPER(data[[#This Row],[department]])</f>
        <v>LEGAL</v>
      </c>
      <c r="E191" s="6">
        <v>2329285.16</v>
      </c>
      <c r="F191" s="9">
        <v>44775</v>
      </c>
      <c r="G191" s="2" t="str">
        <f>IF(data[[#This Row],[tenure]], "full time", "part time")</f>
        <v>part time</v>
      </c>
      <c r="H191" s="2" t="str">
        <f>IF(data[[#This Row],[contract_type]], "permanent", "fixed-term")</f>
        <v>permanent</v>
      </c>
      <c r="I191" s="2" t="s">
        <v>22</v>
      </c>
    </row>
    <row r="192" spans="1:9">
      <c r="A192" s="2">
        <v>7416</v>
      </c>
      <c r="B192" s="2" t="s">
        <v>208</v>
      </c>
      <c r="C192" s="2" t="str">
        <f>IF(data[[#This Row],[gender]] = "M", "Male", "Female")</f>
        <v>Male</v>
      </c>
      <c r="D192" s="2" t="str">
        <f>UPPER(data[[#This Row],[department]])</f>
        <v>SUPPORT</v>
      </c>
      <c r="E192" s="6">
        <v>2983621.99</v>
      </c>
      <c r="F192" s="9">
        <v>44501</v>
      </c>
      <c r="G192" s="2" t="str">
        <f>IF(data[[#This Row],[tenure]], "full time", "part time")</f>
        <v>part time</v>
      </c>
      <c r="H192" s="2" t="str">
        <f>IF(data[[#This Row],[contract_type]], "permanent", "fixed-term")</f>
        <v>fixed-term</v>
      </c>
      <c r="I192" s="2" t="s">
        <v>12</v>
      </c>
    </row>
    <row r="193" spans="1:9">
      <c r="A193" s="2">
        <v>7471</v>
      </c>
      <c r="B193" s="2" t="s">
        <v>209</v>
      </c>
      <c r="C193" s="2" t="str">
        <f>IF(data[[#This Row],[gender]] = "M", "Male", "Female")</f>
        <v>Female</v>
      </c>
      <c r="D193" s="2" t="str">
        <f>UPPER(data[[#This Row],[department]])</f>
        <v>LEGAL</v>
      </c>
      <c r="E193" s="6">
        <v>3200878.66</v>
      </c>
      <c r="F193" s="9">
        <v>42761</v>
      </c>
      <c r="G193" s="2" t="str">
        <f>IF(data[[#This Row],[tenure]], "full time", "part time")</f>
        <v>part time</v>
      </c>
      <c r="H193" s="2" t="str">
        <f>IF(data[[#This Row],[contract_type]], "permanent", "fixed-term")</f>
        <v>fixed-term</v>
      </c>
      <c r="I193" s="2" t="s">
        <v>24</v>
      </c>
    </row>
    <row r="194" spans="1:9">
      <c r="A194" s="2">
        <v>7487</v>
      </c>
      <c r="B194" s="2" t="s">
        <v>210</v>
      </c>
      <c r="C194" s="2" t="str">
        <f>IF(data[[#This Row],[gender]] = "M", "Male", "Female")</f>
        <v>Male</v>
      </c>
      <c r="D194" s="2" t="str">
        <f>UPPER(data[[#This Row],[department]])</f>
        <v>TRAINING</v>
      </c>
      <c r="E194" s="6">
        <v>1987896.78</v>
      </c>
      <c r="F194" s="9">
        <v>41777</v>
      </c>
      <c r="G194" s="2" t="str">
        <f>IF(data[[#This Row],[tenure]], "full time", "part time")</f>
        <v>full time</v>
      </c>
      <c r="H194" s="2" t="str">
        <f>IF(data[[#This Row],[contract_type]], "permanent", "fixed-term")</f>
        <v>fixed-term</v>
      </c>
      <c r="I194" s="2" t="s">
        <v>12</v>
      </c>
    </row>
    <row r="195" spans="1:9">
      <c r="A195" s="2">
        <v>7496</v>
      </c>
      <c r="B195" s="2" t="s">
        <v>211</v>
      </c>
      <c r="C195" s="2" t="str">
        <f>IF(data[[#This Row],[gender]] = "M", "Male", "Female")</f>
        <v>Male</v>
      </c>
      <c r="D195" s="2" t="str">
        <f>UPPER(data[[#This Row],[department]])</f>
        <v>SALES</v>
      </c>
      <c r="E195" s="6">
        <v>3987308.43</v>
      </c>
      <c r="F195" s="9">
        <v>42252</v>
      </c>
      <c r="G195" s="2" t="str">
        <f>IF(data[[#This Row],[tenure]], "full time", "part time")</f>
        <v>full time</v>
      </c>
      <c r="H195" s="2" t="str">
        <f>IF(data[[#This Row],[contract_type]], "permanent", "fixed-term")</f>
        <v>permanent</v>
      </c>
      <c r="I195" s="2" t="s">
        <v>10</v>
      </c>
    </row>
    <row r="196" spans="1:9">
      <c r="A196" s="2">
        <v>7540</v>
      </c>
      <c r="B196" s="2" t="s">
        <v>212</v>
      </c>
      <c r="C196" s="2" t="str">
        <f>IF(data[[#This Row],[gender]] = "M", "Male", "Female")</f>
        <v>Female</v>
      </c>
      <c r="D196" s="2" t="str">
        <f>UPPER(data[[#This Row],[department]])</f>
        <v>ACCOUNTING</v>
      </c>
      <c r="E196" s="6">
        <v>3807156</v>
      </c>
      <c r="F196" s="9">
        <v>43041</v>
      </c>
      <c r="G196" s="2" t="str">
        <f>IF(data[[#This Row],[tenure]], "full time", "part time")</f>
        <v>full time</v>
      </c>
      <c r="H196" s="2" t="str">
        <f>IF(data[[#This Row],[contract_type]], "permanent", "fixed-term")</f>
        <v>permanent</v>
      </c>
      <c r="I196" s="2" t="s">
        <v>12</v>
      </c>
    </row>
    <row r="197" spans="1:9">
      <c r="A197" s="2">
        <v>7540</v>
      </c>
      <c r="B197" s="2" t="s">
        <v>213</v>
      </c>
      <c r="C197" s="2" t="str">
        <f>IF(data[[#This Row],[gender]] = "M", "Male", "Female")</f>
        <v>Male</v>
      </c>
      <c r="D197" s="2" t="str">
        <f>UPPER(data[[#This Row],[department]])</f>
        <v>MARKETING</v>
      </c>
      <c r="E197" s="6">
        <v>3573050.4</v>
      </c>
      <c r="F197" s="9">
        <v>41751</v>
      </c>
      <c r="G197" s="2" t="str">
        <f>IF(data[[#This Row],[tenure]], "full time", "part time")</f>
        <v>part time</v>
      </c>
      <c r="H197" s="2" t="str">
        <f>IF(data[[#This Row],[contract_type]], "permanent", "fixed-term")</f>
        <v>fixed-term</v>
      </c>
      <c r="I197" s="2" t="s">
        <v>22</v>
      </c>
    </row>
    <row r="198" spans="1:9">
      <c r="A198" s="2">
        <v>7540</v>
      </c>
      <c r="B198" s="2" t="s">
        <v>214</v>
      </c>
      <c r="C198" s="2" t="str">
        <f>IF(data[[#This Row],[gender]] = "M", "Male", "Female")</f>
        <v>Male</v>
      </c>
      <c r="D198" s="2" t="str">
        <f>UPPER(data[[#This Row],[department]])</f>
        <v>MARKETING</v>
      </c>
      <c r="E198" s="6">
        <v>3573050.4</v>
      </c>
      <c r="F198" s="9">
        <v>41751</v>
      </c>
      <c r="G198" s="2" t="str">
        <f>IF(data[[#This Row],[tenure]], "full time", "part time")</f>
        <v>part time</v>
      </c>
      <c r="H198" s="2" t="str">
        <f>IF(data[[#This Row],[contract_type]], "permanent", "fixed-term")</f>
        <v>fixed-term</v>
      </c>
      <c r="I198" s="2" t="s">
        <v>20</v>
      </c>
    </row>
    <row r="199" spans="1:9">
      <c r="A199" s="2">
        <v>7631</v>
      </c>
      <c r="B199" s="2" t="s">
        <v>215</v>
      </c>
      <c r="C199" s="2" t="str">
        <f>IF(data[[#This Row],[gender]] = "M", "Male", "Female")</f>
        <v>Female</v>
      </c>
      <c r="D199" s="2" t="str">
        <f>UPPER(data[[#This Row],[department]])</f>
        <v>TRAINING</v>
      </c>
      <c r="E199" s="6">
        <v>4758505.54</v>
      </c>
      <c r="F199" s="9">
        <v>42571</v>
      </c>
      <c r="G199" s="2" t="str">
        <f>IF(data[[#This Row],[tenure]], "full time", "part time")</f>
        <v>full time</v>
      </c>
      <c r="H199" s="2" t="str">
        <f>IF(data[[#This Row],[contract_type]], "permanent", "fixed-term")</f>
        <v>permanent</v>
      </c>
      <c r="I199" s="2" t="s">
        <v>22</v>
      </c>
    </row>
    <row r="200" spans="1:9">
      <c r="A200" s="2">
        <v>7715</v>
      </c>
      <c r="B200" s="2" t="s">
        <v>216</v>
      </c>
      <c r="C200" s="2" t="str">
        <f>IF(data[[#This Row],[gender]] = "M", "Male", "Female")</f>
        <v>Female</v>
      </c>
      <c r="D200" s="2" t="str">
        <f>UPPER(data[[#This Row],[department]])</f>
        <v>MARKETING</v>
      </c>
      <c r="E200" s="6">
        <v>4730720.28</v>
      </c>
      <c r="F200" s="9">
        <v>41815</v>
      </c>
      <c r="G200" s="2" t="str">
        <f>IF(data[[#This Row],[tenure]], "full time", "part time")</f>
        <v>part time</v>
      </c>
      <c r="H200" s="2" t="str">
        <f>IF(data[[#This Row],[contract_type]], "permanent", "fixed-term")</f>
        <v>fixed-term</v>
      </c>
      <c r="I200" s="2" t="s">
        <v>18</v>
      </c>
    </row>
    <row r="201" spans="1:9">
      <c r="A201" s="2">
        <v>7764</v>
      </c>
      <c r="B201" s="2" t="s">
        <v>217</v>
      </c>
      <c r="C201" s="2" t="str">
        <f>IF(data[[#This Row],[gender]] = "M", "Male", "Female")</f>
        <v>Male</v>
      </c>
      <c r="D201" s="2" t="str">
        <f>UPPER(data[[#This Row],[department]])</f>
        <v>SALES</v>
      </c>
      <c r="E201" s="6">
        <v>3362468.43</v>
      </c>
      <c r="F201" s="9">
        <v>42078</v>
      </c>
      <c r="G201" s="2" t="str">
        <f>IF(data[[#This Row],[tenure]], "full time", "part time")</f>
        <v>full time</v>
      </c>
      <c r="H201" s="2" t="str">
        <f>IF(data[[#This Row],[contract_type]], "permanent", "fixed-term")</f>
        <v>permanent</v>
      </c>
      <c r="I201" s="2" t="s">
        <v>20</v>
      </c>
    </row>
    <row r="202" spans="1:9">
      <c r="A202" s="2">
        <v>7769</v>
      </c>
      <c r="B202" s="2" t="s">
        <v>218</v>
      </c>
      <c r="C202" s="2" t="str">
        <f>IF(data[[#This Row],[gender]] = "M", "Male", "Female")</f>
        <v>Male</v>
      </c>
      <c r="D202" s="2" t="str">
        <f>UPPER(data[[#This Row],[department]])</f>
        <v>SALES</v>
      </c>
      <c r="E202" s="6">
        <v>2439935.37</v>
      </c>
      <c r="F202" s="9">
        <v>43543</v>
      </c>
      <c r="G202" s="2" t="str">
        <f>IF(data[[#This Row],[tenure]], "full time", "part time")</f>
        <v>full time</v>
      </c>
      <c r="H202" s="2" t="str">
        <f>IF(data[[#This Row],[contract_type]], "permanent", "fixed-term")</f>
        <v>fixed-term</v>
      </c>
      <c r="I202" s="2" t="s">
        <v>24</v>
      </c>
    </row>
    <row r="203" spans="1:9">
      <c r="A203" s="2">
        <v>7779</v>
      </c>
      <c r="B203" s="2" t="s">
        <v>219</v>
      </c>
      <c r="C203" s="2" t="str">
        <f>IF(data[[#This Row],[gender]] = "M", "Male", "Female")</f>
        <v>Female</v>
      </c>
      <c r="D203" s="2" t="str">
        <f>UPPER(data[[#This Row],[department]])</f>
        <v>BUSINESS DEVELOPMENT</v>
      </c>
      <c r="E203" s="6">
        <v>4486680.87</v>
      </c>
      <c r="F203" s="9">
        <v>44536</v>
      </c>
      <c r="G203" s="2" t="str">
        <f>IF(data[[#This Row],[tenure]], "full time", "part time")</f>
        <v>full time</v>
      </c>
      <c r="H203" s="2" t="str">
        <f>IF(data[[#This Row],[contract_type]], "permanent", "fixed-term")</f>
        <v>permanent</v>
      </c>
      <c r="I203" s="2" t="s">
        <v>20</v>
      </c>
    </row>
    <row r="204" spans="1:9">
      <c r="A204" s="2">
        <v>7797</v>
      </c>
      <c r="B204" s="2" t="s">
        <v>220</v>
      </c>
      <c r="C204" s="2" t="str">
        <f>IF(data[[#This Row],[gender]] = "M", "Male", "Female")</f>
        <v>Male</v>
      </c>
      <c r="D204" s="2" t="str">
        <f>UPPER(data[[#This Row],[department]])</f>
        <v>ENGINEERING</v>
      </c>
      <c r="E204" s="6">
        <v>3900776.81</v>
      </c>
      <c r="F204" s="9">
        <v>40590</v>
      </c>
      <c r="G204" s="2" t="str">
        <f>IF(data[[#This Row],[tenure]], "full time", "part time")</f>
        <v>full time</v>
      </c>
      <c r="H204" s="2" t="str">
        <f>IF(data[[#This Row],[contract_type]], "permanent", "fixed-term")</f>
        <v>permanent</v>
      </c>
      <c r="I204" s="2" t="s">
        <v>24</v>
      </c>
    </row>
    <row r="205" spans="1:9">
      <c r="A205" s="2">
        <v>7798</v>
      </c>
      <c r="B205" s="2" t="s">
        <v>221</v>
      </c>
      <c r="C205" s="2" t="str">
        <f>IF(data[[#This Row],[gender]] = "M", "Male", "Female")</f>
        <v>Male</v>
      </c>
      <c r="D205" s="2" t="str">
        <f>UPPER(data[[#This Row],[department]])</f>
        <v>ENGINEERING</v>
      </c>
      <c r="E205" s="6">
        <v>3900776.81</v>
      </c>
      <c r="F205" s="9">
        <v>40590</v>
      </c>
      <c r="G205" s="2" t="str">
        <f>IF(data[[#This Row],[tenure]], "full time", "part time")</f>
        <v>full time</v>
      </c>
      <c r="H205" s="2" t="str">
        <f>IF(data[[#This Row],[contract_type]], "permanent", "fixed-term")</f>
        <v>permanent</v>
      </c>
      <c r="I205" s="2" t="s">
        <v>12</v>
      </c>
    </row>
    <row r="206" spans="1:9">
      <c r="A206" s="2">
        <v>7819</v>
      </c>
      <c r="B206" s="2" t="s">
        <v>222</v>
      </c>
      <c r="C206" s="2" t="str">
        <f>IF(data[[#This Row],[gender]] = "M", "Male", "Female")</f>
        <v>Male</v>
      </c>
      <c r="D206" s="2" t="str">
        <f>UPPER(data[[#This Row],[department]])</f>
        <v>ENGINEERING</v>
      </c>
      <c r="E206" s="6">
        <v>2636971.33</v>
      </c>
      <c r="F206" s="9">
        <v>41390</v>
      </c>
      <c r="G206" s="2" t="str">
        <f>IF(data[[#This Row],[tenure]], "full time", "part time")</f>
        <v>part time</v>
      </c>
      <c r="H206" s="2" t="str">
        <f>IF(data[[#This Row],[contract_type]], "permanent", "fixed-term")</f>
        <v>permanent</v>
      </c>
      <c r="I206" s="2" t="s">
        <v>15</v>
      </c>
    </row>
    <row r="207" spans="1:9">
      <c r="A207" s="2">
        <v>7925</v>
      </c>
      <c r="B207" s="2" t="s">
        <v>223</v>
      </c>
      <c r="C207" s="2" t="str">
        <f>IF(data[[#This Row],[gender]] = "M", "Male", "Female")</f>
        <v>Female</v>
      </c>
      <c r="D207" s="2" t="str">
        <f>UPPER(data[[#This Row],[department]])</f>
        <v>SALES</v>
      </c>
      <c r="E207" s="6">
        <v>4782600.8</v>
      </c>
      <c r="F207" s="9">
        <v>43511</v>
      </c>
      <c r="G207" s="2" t="str">
        <f>IF(data[[#This Row],[tenure]], "full time", "part time")</f>
        <v>part time</v>
      </c>
      <c r="H207" s="2" t="str">
        <f>IF(data[[#This Row],[contract_type]], "permanent", "fixed-term")</f>
        <v>permanent</v>
      </c>
      <c r="I207" s="2" t="s">
        <v>27</v>
      </c>
    </row>
    <row r="208" spans="1:9">
      <c r="A208" s="2">
        <v>7996</v>
      </c>
      <c r="B208" s="2" t="s">
        <v>224</v>
      </c>
      <c r="C208" s="2" t="str">
        <f>IF(data[[#This Row],[gender]] = "M", "Male", "Female")</f>
        <v>Female</v>
      </c>
      <c r="D208" s="2" t="str">
        <f>UPPER(data[[#This Row],[department]])</f>
        <v>ACCOUNTING</v>
      </c>
      <c r="E208" s="6">
        <v>4618778.42</v>
      </c>
      <c r="F208" s="9">
        <v>44453</v>
      </c>
      <c r="G208" s="2" t="str">
        <f>IF(data[[#This Row],[tenure]], "full time", "part time")</f>
        <v>full time</v>
      </c>
      <c r="H208" s="2" t="str">
        <f>IF(data[[#This Row],[contract_type]], "permanent", "fixed-term")</f>
        <v>permanent</v>
      </c>
      <c r="I208" s="2" t="s">
        <v>22</v>
      </c>
    </row>
    <row r="209" spans="1:9">
      <c r="A209" s="2">
        <v>8039</v>
      </c>
      <c r="B209" s="2" t="s">
        <v>225</v>
      </c>
      <c r="C209" s="2" t="str">
        <f>IF(data[[#This Row],[gender]] = "M", "Male", "Female")</f>
        <v>Male</v>
      </c>
      <c r="D209" s="2" t="str">
        <f>UPPER(data[[#This Row],[department]])</f>
        <v>LEGAL</v>
      </c>
      <c r="E209" s="6">
        <v>1996763.25</v>
      </c>
      <c r="F209" s="9">
        <v>42488</v>
      </c>
      <c r="G209" s="2" t="str">
        <f>IF(data[[#This Row],[tenure]], "full time", "part time")</f>
        <v>full time</v>
      </c>
      <c r="H209" s="2" t="str">
        <f>IF(data[[#This Row],[contract_type]], "permanent", "fixed-term")</f>
        <v>fixed-term</v>
      </c>
      <c r="I209" s="2" t="s">
        <v>24</v>
      </c>
    </row>
    <row r="210" spans="1:9">
      <c r="A210" s="2">
        <v>8062</v>
      </c>
      <c r="B210" s="2" t="s">
        <v>226</v>
      </c>
      <c r="C210" s="2" t="str">
        <f>IF(data[[#This Row],[gender]] = "M", "Male", "Female")</f>
        <v>Female</v>
      </c>
      <c r="D210" s="2" t="str">
        <f>UPPER(data[[#This Row],[department]])</f>
        <v>ACCOUNTING</v>
      </c>
      <c r="E210" s="6">
        <v>3730608.53</v>
      </c>
      <c r="F210" s="9">
        <v>41718</v>
      </c>
      <c r="G210" s="2" t="str">
        <f>IF(data[[#This Row],[tenure]], "full time", "part time")</f>
        <v>part time</v>
      </c>
      <c r="H210" s="2" t="str">
        <f>IF(data[[#This Row],[contract_type]], "permanent", "fixed-term")</f>
        <v>fixed-term</v>
      </c>
      <c r="I210" s="2" t="s">
        <v>10</v>
      </c>
    </row>
    <row r="211" spans="1:9">
      <c r="A211" s="2">
        <v>8069</v>
      </c>
      <c r="B211" s="2" t="s">
        <v>227</v>
      </c>
      <c r="C211" s="2" t="str">
        <f>IF(data[[#This Row],[gender]] = "M", "Male", "Female")</f>
        <v>Female</v>
      </c>
      <c r="D211" s="2" t="str">
        <f>UPPER(data[[#This Row],[department]])</f>
        <v>SUPPORT</v>
      </c>
      <c r="E211" s="6">
        <v>3687983.95</v>
      </c>
      <c r="F211" s="9">
        <v>42146</v>
      </c>
      <c r="G211" s="2" t="str">
        <f>IF(data[[#This Row],[tenure]], "full time", "part time")</f>
        <v>full time</v>
      </c>
      <c r="H211" s="2" t="str">
        <f>IF(data[[#This Row],[contract_type]], "permanent", "fixed-term")</f>
        <v>permanent</v>
      </c>
      <c r="I211" s="2" t="s">
        <v>20</v>
      </c>
    </row>
    <row r="212" spans="1:9">
      <c r="A212" s="2">
        <v>8086</v>
      </c>
      <c r="B212" s="2" t="s">
        <v>228</v>
      </c>
      <c r="C212" s="2" t="str">
        <f>IF(data[[#This Row],[gender]] = "M", "Male", "Female")</f>
        <v>Female</v>
      </c>
      <c r="D212" s="2" t="str">
        <f>UPPER(data[[#This Row],[department]])</f>
        <v>RESEARCH AND DEVELOPMENT</v>
      </c>
      <c r="E212" s="6">
        <v>1875943.58</v>
      </c>
      <c r="F212" s="9">
        <v>40499</v>
      </c>
      <c r="G212" s="2" t="str">
        <f>IF(data[[#This Row],[tenure]], "full time", "part time")</f>
        <v>full time</v>
      </c>
      <c r="H212" s="2" t="str">
        <f>IF(data[[#This Row],[contract_type]], "permanent", "fixed-term")</f>
        <v>permanent</v>
      </c>
      <c r="I212" s="2" t="s">
        <v>22</v>
      </c>
    </row>
    <row r="213" spans="1:9">
      <c r="A213" s="2">
        <v>8088</v>
      </c>
      <c r="B213" s="2" t="s">
        <v>229</v>
      </c>
      <c r="C213" s="2" t="str">
        <f>IF(data[[#This Row],[gender]] = "M", "Male", "Female")</f>
        <v>Male</v>
      </c>
      <c r="D213" s="2" t="str">
        <f>UPPER(data[[#This Row],[department]])</f>
        <v>SALES</v>
      </c>
      <c r="E213" s="6">
        <v>4453496.57</v>
      </c>
      <c r="F213" s="9">
        <v>40612</v>
      </c>
      <c r="G213" s="2" t="str">
        <f>IF(data[[#This Row],[tenure]], "full time", "part time")</f>
        <v>full time</v>
      </c>
      <c r="H213" s="2" t="str">
        <f>IF(data[[#This Row],[contract_type]], "permanent", "fixed-term")</f>
        <v>fixed-term</v>
      </c>
      <c r="I213" s="2" t="s">
        <v>22</v>
      </c>
    </row>
    <row r="214" spans="1:9">
      <c r="A214" s="2">
        <v>8113</v>
      </c>
      <c r="B214" s="2" t="s">
        <v>200</v>
      </c>
      <c r="C214" s="2" t="str">
        <f>IF(data[[#This Row],[gender]] = "M", "Male", "Female")</f>
        <v>Male</v>
      </c>
      <c r="D214" s="2" t="str">
        <f>UPPER(data[[#This Row],[department]])</f>
        <v>HUMAN RESOURCES</v>
      </c>
      <c r="E214" s="6">
        <v>3754719.94</v>
      </c>
      <c r="F214" s="9">
        <v>40603</v>
      </c>
      <c r="G214" s="2" t="str">
        <f>IF(data[[#This Row],[tenure]], "full time", "part time")</f>
        <v>part time</v>
      </c>
      <c r="H214" s="2" t="str">
        <f>IF(data[[#This Row],[contract_type]], "permanent", "fixed-term")</f>
        <v>fixed-term</v>
      </c>
      <c r="I214" s="2" t="s">
        <v>27</v>
      </c>
    </row>
    <row r="215" spans="1:9">
      <c r="A215" s="2">
        <v>8155</v>
      </c>
      <c r="B215" s="2" t="s">
        <v>230</v>
      </c>
      <c r="C215" s="2" t="str">
        <f>IF(data[[#This Row],[gender]] = "M", "Male", "Female")</f>
        <v>Male</v>
      </c>
      <c r="D215" s="2" t="str">
        <f>UPPER(data[[#This Row],[department]])</f>
        <v>ACCOUNTING</v>
      </c>
      <c r="E215" s="6">
        <v>4473507.76</v>
      </c>
      <c r="F215" s="9">
        <v>40971</v>
      </c>
      <c r="G215" s="2" t="str">
        <f>IF(data[[#This Row],[tenure]], "full time", "part time")</f>
        <v>part time</v>
      </c>
      <c r="H215" s="2" t="str">
        <f>IF(data[[#This Row],[contract_type]], "permanent", "fixed-term")</f>
        <v>fixed-term</v>
      </c>
      <c r="I215" s="2" t="s">
        <v>12</v>
      </c>
    </row>
    <row r="216" spans="1:9">
      <c r="A216" s="2">
        <v>8155</v>
      </c>
      <c r="B216" s="2" t="s">
        <v>231</v>
      </c>
      <c r="C216" s="2" t="str">
        <f>IF(data[[#This Row],[gender]] = "M", "Male", "Female")</f>
        <v>Male</v>
      </c>
      <c r="D216" s="2" t="str">
        <f>UPPER(data[[#This Row],[department]])</f>
        <v>SERVICES</v>
      </c>
      <c r="E216" s="6">
        <v>3262741.78</v>
      </c>
      <c r="F216" s="9">
        <v>40939</v>
      </c>
      <c r="G216" s="2" t="str">
        <f>IF(data[[#This Row],[tenure]], "full time", "part time")</f>
        <v>part time</v>
      </c>
      <c r="H216" s="2" t="str">
        <f>IF(data[[#This Row],[contract_type]], "permanent", "fixed-term")</f>
        <v>fixed-term</v>
      </c>
      <c r="I216" s="2" t="s">
        <v>10</v>
      </c>
    </row>
    <row r="217" spans="1:9">
      <c r="A217" s="2">
        <v>8254</v>
      </c>
      <c r="B217" s="2" t="s">
        <v>232</v>
      </c>
      <c r="C217" s="2" t="str">
        <f>IF(data[[#This Row],[gender]] = "M", "Male", "Female")</f>
        <v>Female</v>
      </c>
      <c r="D217" s="2" t="str">
        <f>UPPER(data[[#This Row],[department]])</f>
        <v/>
      </c>
      <c r="E217" s="6"/>
      <c r="F217" s="9">
        <v>41919</v>
      </c>
      <c r="G217" s="2" t="str">
        <f>IF(data[[#This Row],[tenure]], "full time", "part time")</f>
        <v>part time</v>
      </c>
      <c r="H217" s="2" t="str">
        <f>IF(data[[#This Row],[contract_type]], "permanent", "fixed-term")</f>
        <v>permanent</v>
      </c>
      <c r="I217" s="2" t="s">
        <v>24</v>
      </c>
    </row>
    <row r="218" spans="1:9">
      <c r="A218" s="2">
        <v>8338</v>
      </c>
      <c r="B218" s="2" t="s">
        <v>233</v>
      </c>
      <c r="C218" s="2" t="str">
        <f>IF(data[[#This Row],[gender]] = "M", "Male", "Female")</f>
        <v>Male</v>
      </c>
      <c r="D218" s="2" t="str">
        <f>UPPER(data[[#This Row],[department]])</f>
        <v>ENGINEERING</v>
      </c>
      <c r="E218" s="6">
        <v>2096091.96</v>
      </c>
      <c r="F218" s="9">
        <v>41705</v>
      </c>
      <c r="G218" s="2" t="str">
        <f>IF(data[[#This Row],[tenure]], "full time", "part time")</f>
        <v>full time</v>
      </c>
      <c r="H218" s="2" t="str">
        <f>IF(data[[#This Row],[contract_type]], "permanent", "fixed-term")</f>
        <v>permanent</v>
      </c>
      <c r="I218" s="2" t="s">
        <v>10</v>
      </c>
    </row>
    <row r="219" spans="1:9">
      <c r="A219" s="2">
        <v>8378</v>
      </c>
      <c r="B219" s="2" t="s">
        <v>234</v>
      </c>
      <c r="C219" s="2" t="str">
        <f>IF(data[[#This Row],[gender]] = "M", "Male", "Female")</f>
        <v>Female</v>
      </c>
      <c r="D219" s="2" t="str">
        <f>UPPER(data[[#This Row],[department]])</f>
        <v>SUPPORT</v>
      </c>
      <c r="E219" s="6">
        <v>3174126.13</v>
      </c>
      <c r="F219" s="9">
        <v>41257</v>
      </c>
      <c r="G219" s="2" t="str">
        <f>IF(data[[#This Row],[tenure]], "full time", "part time")</f>
        <v>full time</v>
      </c>
      <c r="H219" s="2" t="str">
        <f>IF(data[[#This Row],[contract_type]], "permanent", "fixed-term")</f>
        <v>permanent</v>
      </c>
      <c r="I219" s="2" t="s">
        <v>15</v>
      </c>
    </row>
    <row r="220" spans="1:9">
      <c r="A220" s="2">
        <v>8392</v>
      </c>
      <c r="B220" s="2" t="s">
        <v>235</v>
      </c>
      <c r="C220" s="2" t="str">
        <f>IF(data[[#This Row],[gender]] = "M", "Male", "Female")</f>
        <v>Female</v>
      </c>
      <c r="D220" s="2" t="str">
        <f>UPPER(data[[#This Row],[department]])</f>
        <v>TRAINING</v>
      </c>
      <c r="E220" s="6">
        <v>2444665.13</v>
      </c>
      <c r="F220" s="9">
        <v>43759</v>
      </c>
      <c r="G220" s="2" t="str">
        <f>IF(data[[#This Row],[tenure]], "full time", "part time")</f>
        <v>full time</v>
      </c>
      <c r="H220" s="2" t="str">
        <f>IF(data[[#This Row],[contract_type]], "permanent", "fixed-term")</f>
        <v>fixed-term</v>
      </c>
      <c r="I220" s="2" t="s">
        <v>27</v>
      </c>
    </row>
    <row r="221" spans="1:9">
      <c r="A221" s="2">
        <v>8524</v>
      </c>
      <c r="B221" s="2" t="s">
        <v>236</v>
      </c>
      <c r="C221" s="2" t="str">
        <f>IF(data[[#This Row],[gender]] = "M", "Male", "Female")</f>
        <v>Female</v>
      </c>
      <c r="D221" s="2" t="str">
        <f>UPPER(data[[#This Row],[department]])</f>
        <v>LEGAL</v>
      </c>
      <c r="E221" s="6">
        <v>4449940.33</v>
      </c>
      <c r="F221" s="9">
        <v>42603</v>
      </c>
      <c r="G221" s="2" t="str">
        <f>IF(data[[#This Row],[tenure]], "full time", "part time")</f>
        <v>part time</v>
      </c>
      <c r="H221" s="2" t="str">
        <f>IF(data[[#This Row],[contract_type]], "permanent", "fixed-term")</f>
        <v>permanent</v>
      </c>
      <c r="I221" s="2" t="s">
        <v>18</v>
      </c>
    </row>
    <row r="222" spans="1:9">
      <c r="A222" s="2">
        <v>8540</v>
      </c>
      <c r="B222" s="2" t="s">
        <v>237</v>
      </c>
      <c r="C222" s="2" t="str">
        <f>IF(data[[#This Row],[gender]] = "M", "Male", "Female")</f>
        <v>Male</v>
      </c>
      <c r="D222" s="2" t="str">
        <f>UPPER(data[[#This Row],[department]])</f>
        <v>HUMAN RESOURCES</v>
      </c>
      <c r="E222" s="6">
        <v>2087535.43</v>
      </c>
      <c r="F222" s="9">
        <v>44466</v>
      </c>
      <c r="G222" s="2" t="str">
        <f>IF(data[[#This Row],[tenure]], "full time", "part time")</f>
        <v>part time</v>
      </c>
      <c r="H222" s="2" t="str">
        <f>IF(data[[#This Row],[contract_type]], "permanent", "fixed-term")</f>
        <v>permanent</v>
      </c>
      <c r="I222" s="2" t="s">
        <v>18</v>
      </c>
    </row>
    <row r="223" spans="1:9">
      <c r="A223" s="2">
        <v>8768</v>
      </c>
      <c r="B223" s="2" t="s">
        <v>238</v>
      </c>
      <c r="C223" s="2" t="str">
        <f>IF(data[[#This Row],[gender]] = "M", "Male", "Female")</f>
        <v>Female</v>
      </c>
      <c r="D223" s="2" t="str">
        <f>UPPER(data[[#This Row],[department]])</f>
        <v>SUPPORT</v>
      </c>
      <c r="E223" s="6">
        <v>2351848.1800000002</v>
      </c>
      <c r="F223" s="9">
        <v>43896</v>
      </c>
      <c r="G223" s="2" t="str">
        <f>IF(data[[#This Row],[tenure]], "full time", "part time")</f>
        <v>full time</v>
      </c>
      <c r="H223" s="2" t="str">
        <f>IF(data[[#This Row],[contract_type]], "permanent", "fixed-term")</f>
        <v>permanent</v>
      </c>
      <c r="I223" s="2" t="s">
        <v>12</v>
      </c>
    </row>
    <row r="224" spans="1:9">
      <c r="A224" s="2">
        <v>9045</v>
      </c>
      <c r="B224" s="2" t="s">
        <v>239</v>
      </c>
      <c r="C224" s="2" t="str">
        <f>IF(data[[#This Row],[gender]] = "M", "Male", "Female")</f>
        <v>Male</v>
      </c>
      <c r="D224" s="2" t="str">
        <f>UPPER(data[[#This Row],[department]])</f>
        <v>SUPPORT</v>
      </c>
      <c r="E224" s="6">
        <v>4212289.03</v>
      </c>
      <c r="F224" s="9">
        <v>43115</v>
      </c>
      <c r="G224" s="2" t="str">
        <f>IF(data[[#This Row],[tenure]], "full time", "part time")</f>
        <v>full time</v>
      </c>
      <c r="H224" s="2" t="str">
        <f>IF(data[[#This Row],[contract_type]], "permanent", "fixed-term")</f>
        <v>fixed-term</v>
      </c>
      <c r="I224" s="2" t="s">
        <v>10</v>
      </c>
    </row>
    <row r="225" spans="1:9">
      <c r="A225" s="2">
        <v>9055</v>
      </c>
      <c r="B225" s="2" t="s">
        <v>240</v>
      </c>
      <c r="C225" s="2" t="str">
        <f>IF(data[[#This Row],[gender]] = "M", "Male", "Female")</f>
        <v>Female</v>
      </c>
      <c r="D225" s="2" t="str">
        <f>UPPER(data[[#This Row],[department]])</f>
        <v>PRODUCT MANAGEMENT</v>
      </c>
      <c r="E225" s="6">
        <v>4945012.8600000003</v>
      </c>
      <c r="F225" s="9">
        <v>44075</v>
      </c>
      <c r="G225" s="2" t="str">
        <f>IF(data[[#This Row],[tenure]], "full time", "part time")</f>
        <v>part time</v>
      </c>
      <c r="H225" s="2" t="str">
        <f>IF(data[[#This Row],[contract_type]], "permanent", "fixed-term")</f>
        <v>permanent</v>
      </c>
      <c r="I225" s="2" t="s">
        <v>24</v>
      </c>
    </row>
    <row r="226" spans="1:9">
      <c r="A226" s="2">
        <v>9111</v>
      </c>
      <c r="B226" s="2" t="s">
        <v>241</v>
      </c>
      <c r="C226" s="2" t="str">
        <f>IF(data[[#This Row],[gender]] = "M", "Male", "Female")</f>
        <v>Female</v>
      </c>
      <c r="D226" s="2" t="str">
        <f>UPPER(data[[#This Row],[department]])</f>
        <v>PRODUCT MANAGEMENT</v>
      </c>
      <c r="E226" s="6">
        <v>4602585.58</v>
      </c>
      <c r="F226" s="9">
        <v>40636</v>
      </c>
      <c r="G226" s="2" t="str">
        <f>IF(data[[#This Row],[tenure]], "full time", "part time")</f>
        <v>full time</v>
      </c>
      <c r="H226" s="2" t="str">
        <f>IF(data[[#This Row],[contract_type]], "permanent", "fixed-term")</f>
        <v>permanent</v>
      </c>
      <c r="I226" s="2" t="s">
        <v>18</v>
      </c>
    </row>
    <row r="227" spans="1:9">
      <c r="A227" s="2">
        <v>9177</v>
      </c>
      <c r="B227" s="2" t="s">
        <v>242</v>
      </c>
      <c r="C227" s="2" t="str">
        <f>IF(data[[#This Row],[gender]] = "M", "Male", "Female")</f>
        <v>Female</v>
      </c>
      <c r="D227" s="2" t="str">
        <f>UPPER(data[[#This Row],[department]])</f>
        <v>BUSINESS DEVELOPMENT</v>
      </c>
      <c r="E227" s="6">
        <v>2222691.67</v>
      </c>
      <c r="F227" s="9">
        <v>41243</v>
      </c>
      <c r="G227" s="2" t="str">
        <f>IF(data[[#This Row],[tenure]], "full time", "part time")</f>
        <v>full time</v>
      </c>
      <c r="H227" s="2" t="str">
        <f>IF(data[[#This Row],[contract_type]], "permanent", "fixed-term")</f>
        <v>permanent</v>
      </c>
      <c r="I227" s="2" t="s">
        <v>20</v>
      </c>
    </row>
    <row r="228" spans="1:9">
      <c r="A228" s="2">
        <v>9180</v>
      </c>
      <c r="B228" s="2" t="s">
        <v>243</v>
      </c>
      <c r="C228" s="2" t="str">
        <f>IF(data[[#This Row],[gender]] = "M", "Male", "Female")</f>
        <v>Female</v>
      </c>
      <c r="D228" s="2" t="str">
        <f>UPPER(data[[#This Row],[department]])</f>
        <v>ACCOUNTING</v>
      </c>
      <c r="E228" s="6">
        <v>1833942.37</v>
      </c>
      <c r="F228" s="9">
        <v>41153</v>
      </c>
      <c r="G228" s="2" t="str">
        <f>IF(data[[#This Row],[tenure]], "full time", "part time")</f>
        <v>full time</v>
      </c>
      <c r="H228" s="2" t="str">
        <f>IF(data[[#This Row],[contract_type]], "permanent", "fixed-term")</f>
        <v>permanent</v>
      </c>
      <c r="I228" s="2" t="s">
        <v>22</v>
      </c>
    </row>
    <row r="229" spans="1:9">
      <c r="A229" s="2">
        <v>9200</v>
      </c>
      <c r="B229" s="2" t="s">
        <v>244</v>
      </c>
      <c r="C229" s="2" t="str">
        <f>IF(data[[#This Row],[gender]] = "M", "Male", "Female")</f>
        <v>Female</v>
      </c>
      <c r="D229" s="2" t="str">
        <f>UPPER(data[[#This Row],[department]])</f>
        <v>HUMAN RESOURCES</v>
      </c>
      <c r="E229" s="6">
        <v>2129980.9</v>
      </c>
      <c r="F229" s="9">
        <v>41134</v>
      </c>
      <c r="G229" s="2" t="str">
        <f>IF(data[[#This Row],[tenure]], "full time", "part time")</f>
        <v>part time</v>
      </c>
      <c r="H229" s="2" t="str">
        <f>IF(data[[#This Row],[contract_type]], "permanent", "fixed-term")</f>
        <v>permanent</v>
      </c>
      <c r="I229" s="2" t="s">
        <v>18</v>
      </c>
    </row>
    <row r="230" spans="1:9">
      <c r="A230" s="2">
        <v>9240</v>
      </c>
      <c r="B230" s="2" t="s">
        <v>245</v>
      </c>
      <c r="C230" s="2" t="str">
        <f>IF(data[[#This Row],[gender]] = "M", "Male", "Female")</f>
        <v>Female</v>
      </c>
      <c r="D230" s="2" t="str">
        <f>UPPER(data[[#This Row],[department]])</f>
        <v>SUPPORT</v>
      </c>
      <c r="E230" s="6">
        <v>2094202.3</v>
      </c>
      <c r="F230" s="9">
        <v>40493</v>
      </c>
      <c r="G230" s="2" t="str">
        <f>IF(data[[#This Row],[tenure]], "full time", "part time")</f>
        <v>part time</v>
      </c>
      <c r="H230" s="2" t="str">
        <f>IF(data[[#This Row],[contract_type]], "permanent", "fixed-term")</f>
        <v>fixed-term</v>
      </c>
      <c r="I230" s="2" t="s">
        <v>20</v>
      </c>
    </row>
    <row r="231" spans="1:9">
      <c r="A231" s="2">
        <v>9246</v>
      </c>
      <c r="B231" s="2" t="s">
        <v>246</v>
      </c>
      <c r="C231" s="2" t="str">
        <f>IF(data[[#This Row],[gender]] = "M", "Male", "Female")</f>
        <v>Male</v>
      </c>
      <c r="D231" s="2" t="str">
        <f>UPPER(data[[#This Row],[department]])</f>
        <v>LEGAL</v>
      </c>
      <c r="E231" s="6">
        <v>4015778.76</v>
      </c>
      <c r="F231" s="9">
        <v>42849</v>
      </c>
      <c r="G231" s="2" t="str">
        <f>IF(data[[#This Row],[tenure]], "full time", "part time")</f>
        <v>full time</v>
      </c>
      <c r="H231" s="2" t="str">
        <f>IF(data[[#This Row],[contract_type]], "permanent", "fixed-term")</f>
        <v>fixed-term</v>
      </c>
      <c r="I231" s="2" t="s">
        <v>24</v>
      </c>
    </row>
    <row r="232" spans="1:9">
      <c r="A232" s="2">
        <v>9303</v>
      </c>
      <c r="B232" s="2" t="s">
        <v>247</v>
      </c>
      <c r="C232" s="2" t="str">
        <f>IF(data[[#This Row],[gender]] = "M", "Male", "Female")</f>
        <v>Female</v>
      </c>
      <c r="D232" s="2" t="str">
        <f>UPPER(data[[#This Row],[department]])</f>
        <v>SUPPORT</v>
      </c>
      <c r="E232" s="6">
        <v>4721563.8600000003</v>
      </c>
      <c r="F232" s="9">
        <v>44348</v>
      </c>
      <c r="G232" s="2" t="str">
        <f>IF(data[[#This Row],[tenure]], "full time", "part time")</f>
        <v>full time</v>
      </c>
      <c r="H232" s="2" t="str">
        <f>IF(data[[#This Row],[contract_type]], "permanent", "fixed-term")</f>
        <v>fixed-term</v>
      </c>
      <c r="I232" s="2" t="s">
        <v>62</v>
      </c>
    </row>
    <row r="233" spans="1:9">
      <c r="A233" s="2">
        <v>9360</v>
      </c>
      <c r="B233" s="2" t="s">
        <v>248</v>
      </c>
      <c r="C233" s="2" t="str">
        <f>IF(data[[#This Row],[gender]] = "M", "Male", "Female")</f>
        <v>Male</v>
      </c>
      <c r="D233" s="2" t="str">
        <f>UPPER(data[[#This Row],[department]])</f>
        <v>HUMAN RESOURCES</v>
      </c>
      <c r="E233" s="6">
        <v>3700070.49</v>
      </c>
      <c r="F233" s="9">
        <v>43817</v>
      </c>
      <c r="G233" s="2" t="str">
        <f>IF(data[[#This Row],[tenure]], "full time", "part time")</f>
        <v>full time</v>
      </c>
      <c r="H233" s="2" t="str">
        <f>IF(data[[#This Row],[contract_type]], "permanent", "fixed-term")</f>
        <v>fixed-term</v>
      </c>
      <c r="I233" s="2" t="s">
        <v>27</v>
      </c>
    </row>
    <row r="234" spans="1:9">
      <c r="A234" s="2">
        <v>9360</v>
      </c>
      <c r="B234" s="2" t="s">
        <v>249</v>
      </c>
      <c r="C234" s="2" t="str">
        <f>IF(data[[#This Row],[gender]] = "M", "Male", "Female")</f>
        <v>Male</v>
      </c>
      <c r="D234" s="2" t="str">
        <f>UPPER(data[[#This Row],[department]])</f>
        <v>LEGAL</v>
      </c>
      <c r="E234" s="6">
        <v>4255337.3899999997</v>
      </c>
      <c r="F234" s="9">
        <v>42281</v>
      </c>
      <c r="G234" s="2" t="str">
        <f>IF(data[[#This Row],[tenure]], "full time", "part time")</f>
        <v>part time</v>
      </c>
      <c r="H234" s="2" t="str">
        <f>IF(data[[#This Row],[contract_type]], "permanent", "fixed-term")</f>
        <v>permanent</v>
      </c>
      <c r="I234" s="2" t="s">
        <v>22</v>
      </c>
    </row>
    <row r="235" spans="1:9">
      <c r="A235" s="2">
        <v>9382</v>
      </c>
      <c r="B235" s="2" t="s">
        <v>250</v>
      </c>
      <c r="C235" s="2" t="str">
        <f>IF(data[[#This Row],[gender]] = "M", "Male", "Female")</f>
        <v>Female</v>
      </c>
      <c r="D235" s="2" t="str">
        <f>UPPER(data[[#This Row],[department]])</f>
        <v>SALES</v>
      </c>
      <c r="E235" s="6">
        <v>4571818.97</v>
      </c>
      <c r="F235" s="9">
        <v>40545</v>
      </c>
      <c r="G235" s="2" t="str">
        <f>IF(data[[#This Row],[tenure]], "full time", "part time")</f>
        <v>part time</v>
      </c>
      <c r="H235" s="2" t="str">
        <f>IF(data[[#This Row],[contract_type]], "permanent", "fixed-term")</f>
        <v>permanent</v>
      </c>
      <c r="I235" s="2" t="s">
        <v>12</v>
      </c>
    </row>
    <row r="236" spans="1:9">
      <c r="A236" s="2">
        <v>9385</v>
      </c>
      <c r="B236" s="2" t="s">
        <v>251</v>
      </c>
      <c r="C236" s="2" t="str">
        <f>IF(data[[#This Row],[gender]] = "M", "Male", "Female")</f>
        <v>Female</v>
      </c>
      <c r="D236" s="2" t="str">
        <f>UPPER(data[[#This Row],[department]])</f>
        <v>TRAINING</v>
      </c>
      <c r="E236" s="6">
        <v>3737782.92</v>
      </c>
      <c r="F236" s="9">
        <v>42884</v>
      </c>
      <c r="G236" s="2" t="str">
        <f>IF(data[[#This Row],[tenure]], "full time", "part time")</f>
        <v>part time</v>
      </c>
      <c r="H236" s="2" t="str">
        <f>IF(data[[#This Row],[contract_type]], "permanent", "fixed-term")</f>
        <v>fixed-term</v>
      </c>
      <c r="I236" s="2" t="s">
        <v>15</v>
      </c>
    </row>
    <row r="237" spans="1:9">
      <c r="A237" s="2">
        <v>9385</v>
      </c>
      <c r="B237" s="2" t="s">
        <v>252</v>
      </c>
      <c r="C237" s="2" t="str">
        <f>IF(data[[#This Row],[gender]] = "M", "Male", "Female")</f>
        <v>Female</v>
      </c>
      <c r="D237" s="2" t="str">
        <f>UPPER(data[[#This Row],[department]])</f>
        <v>SUPPORT</v>
      </c>
      <c r="E237" s="6">
        <v>2559083.1</v>
      </c>
      <c r="F237" s="9">
        <v>42822</v>
      </c>
      <c r="G237" s="2" t="str">
        <f>IF(data[[#This Row],[tenure]], "full time", "part time")</f>
        <v>part time</v>
      </c>
      <c r="H237" s="2" t="str">
        <f>IF(data[[#This Row],[contract_type]], "permanent", "fixed-term")</f>
        <v>fixed-term</v>
      </c>
      <c r="I237" s="2" t="s">
        <v>24</v>
      </c>
    </row>
    <row r="238" spans="1:9">
      <c r="A238" s="2">
        <v>9455</v>
      </c>
      <c r="B238" s="2" t="s">
        <v>253</v>
      </c>
      <c r="C238" s="2" t="str">
        <f>IF(data[[#This Row],[gender]] = "M", "Male", "Female")</f>
        <v>Female</v>
      </c>
      <c r="D238" s="2" t="str">
        <f>UPPER(data[[#This Row],[department]])</f>
        <v>MARKETING</v>
      </c>
      <c r="E238" s="6">
        <v>2141342.69</v>
      </c>
      <c r="F238" s="9">
        <v>43342</v>
      </c>
      <c r="G238" s="2" t="str">
        <f>IF(data[[#This Row],[tenure]], "full time", "part time")</f>
        <v>part time</v>
      </c>
      <c r="H238" s="2" t="str">
        <f>IF(data[[#This Row],[contract_type]], "permanent", "fixed-term")</f>
        <v>fixed-term</v>
      </c>
      <c r="I238" s="2" t="s">
        <v>12</v>
      </c>
    </row>
    <row r="239" spans="1:9">
      <c r="A239" s="2">
        <v>9480</v>
      </c>
      <c r="B239" s="2" t="s">
        <v>254</v>
      </c>
      <c r="C239" s="2" t="str">
        <f>IF(data[[#This Row],[gender]] = "M", "Male", "Female")</f>
        <v>Female</v>
      </c>
      <c r="D239" s="2" t="str">
        <f>UPPER(data[[#This Row],[department]])</f>
        <v>LEGAL</v>
      </c>
      <c r="E239" s="6">
        <v>4357412.47</v>
      </c>
      <c r="F239" s="9">
        <v>43937</v>
      </c>
      <c r="G239" s="2" t="str">
        <f>IF(data[[#This Row],[tenure]], "full time", "part time")</f>
        <v>part time</v>
      </c>
      <c r="H239" s="2" t="str">
        <f>IF(data[[#This Row],[contract_type]], "permanent", "fixed-term")</f>
        <v>fixed-term</v>
      </c>
      <c r="I239" s="2" t="s">
        <v>18</v>
      </c>
    </row>
    <row r="240" spans="1:9">
      <c r="A240" s="2">
        <v>9511</v>
      </c>
      <c r="B240" s="2" t="s">
        <v>255</v>
      </c>
      <c r="C240" s="2" t="str">
        <f>IF(data[[#This Row],[gender]] = "M", "Male", "Female")</f>
        <v>Female</v>
      </c>
      <c r="D240" s="2" t="str">
        <f>UPPER(data[[#This Row],[department]])</f>
        <v>LEGAL</v>
      </c>
      <c r="E240" s="6">
        <v>4357412.47</v>
      </c>
      <c r="F240" s="9">
        <v>43937</v>
      </c>
      <c r="G240" s="2" t="str">
        <f>IF(data[[#This Row],[tenure]], "full time", "part time")</f>
        <v>part time</v>
      </c>
      <c r="H240" s="2" t="str">
        <f>IF(data[[#This Row],[contract_type]], "permanent", "fixed-term")</f>
        <v>fixed-term</v>
      </c>
      <c r="I240" s="2" t="s">
        <v>18</v>
      </c>
    </row>
    <row r="241" spans="1:9">
      <c r="A241" s="2">
        <v>9549</v>
      </c>
      <c r="B241" s="2" t="s">
        <v>256</v>
      </c>
      <c r="C241" s="2" t="str">
        <f>IF(data[[#This Row],[gender]] = "M", "Male", "Female")</f>
        <v>Female</v>
      </c>
      <c r="D241" s="2" t="str">
        <f>UPPER(data[[#This Row],[department]])</f>
        <v>RESEARCH AND DEVELOPMENT</v>
      </c>
      <c r="E241" s="6">
        <v>5162025.01</v>
      </c>
      <c r="F241" s="9">
        <v>42411</v>
      </c>
      <c r="G241" s="2" t="str">
        <f>IF(data[[#This Row],[tenure]], "full time", "part time")</f>
        <v>part time</v>
      </c>
      <c r="H241" s="2" t="str">
        <f>IF(data[[#This Row],[contract_type]], "permanent", "fixed-term")</f>
        <v>fixed-term</v>
      </c>
      <c r="I241" s="2" t="s">
        <v>24</v>
      </c>
    </row>
    <row r="242" spans="1:9">
      <c r="A242" s="2">
        <v>9600</v>
      </c>
      <c r="B242" s="2" t="s">
        <v>257</v>
      </c>
      <c r="C242" s="2" t="str">
        <f>IF(data[[#This Row],[gender]] = "M", "Male", "Female")</f>
        <v>Male</v>
      </c>
      <c r="D242" s="2" t="str">
        <f>UPPER(data[[#This Row],[department]])</f>
        <v>RESEARCH AND DEVELOPMENT</v>
      </c>
      <c r="E242" s="6">
        <v>3547654.59</v>
      </c>
      <c r="F242" s="9">
        <v>41934</v>
      </c>
      <c r="G242" s="2" t="str">
        <f>IF(data[[#This Row],[tenure]], "full time", "part time")</f>
        <v>part time</v>
      </c>
      <c r="H242" s="2" t="str">
        <f>IF(data[[#This Row],[contract_type]], "permanent", "fixed-term")</f>
        <v>permanent</v>
      </c>
      <c r="I242" s="2" t="s">
        <v>62</v>
      </c>
    </row>
    <row r="243" spans="1:9">
      <c r="A243" s="2">
        <v>9632</v>
      </c>
      <c r="B243" s="2" t="s">
        <v>258</v>
      </c>
      <c r="C243" s="2" t="str">
        <f>IF(data[[#This Row],[gender]] = "M", "Male", "Female")</f>
        <v>Male</v>
      </c>
      <c r="D243" s="2" t="str">
        <f>UPPER(data[[#This Row],[department]])</f>
        <v>SERVICES</v>
      </c>
      <c r="E243" s="6">
        <v>4788560.92</v>
      </c>
      <c r="F243" s="9">
        <v>41872</v>
      </c>
      <c r="G243" s="2" t="str">
        <f>IF(data[[#This Row],[tenure]], "full time", "part time")</f>
        <v>part time</v>
      </c>
      <c r="H243" s="2" t="str">
        <f>IF(data[[#This Row],[contract_type]], "permanent", "fixed-term")</f>
        <v>fixed-term</v>
      </c>
      <c r="I243" s="2" t="s">
        <v>62</v>
      </c>
    </row>
    <row r="244" spans="1:9">
      <c r="A244" s="2">
        <v>9709</v>
      </c>
      <c r="B244" s="2" t="s">
        <v>259</v>
      </c>
      <c r="C244" s="2" t="str">
        <f>IF(data[[#This Row],[gender]] = "M", "Male", "Female")</f>
        <v>Male</v>
      </c>
      <c r="D244" s="2" t="str">
        <f>UPPER(data[[#This Row],[department]])</f>
        <v>LEGAL</v>
      </c>
      <c r="E244" s="6">
        <v>4510821.6399999997</v>
      </c>
      <c r="F244" s="9">
        <v>44443</v>
      </c>
      <c r="G244" s="2" t="str">
        <f>IF(data[[#This Row],[tenure]], "full time", "part time")</f>
        <v>full time</v>
      </c>
      <c r="H244" s="2" t="str">
        <f>IF(data[[#This Row],[contract_type]], "permanent", "fixed-term")</f>
        <v>fixed-term</v>
      </c>
      <c r="I244" s="2" t="s">
        <v>10</v>
      </c>
    </row>
    <row r="245" spans="1:9">
      <c r="A245" s="2">
        <v>9827</v>
      </c>
      <c r="B245" s="2" t="s">
        <v>260</v>
      </c>
      <c r="C245" s="2" t="str">
        <f>IF(data[[#This Row],[gender]] = "M", "Male", "Female")</f>
        <v>Female</v>
      </c>
      <c r="D245" s="2" t="str">
        <f>UPPER(data[[#This Row],[department]])</f>
        <v>HUMAN RESOURCES</v>
      </c>
      <c r="E245" s="6">
        <v>5191097.12</v>
      </c>
      <c r="F245" s="9">
        <v>40612</v>
      </c>
      <c r="G245" s="2" t="str">
        <f>IF(data[[#This Row],[tenure]], "full time", "part time")</f>
        <v>part time</v>
      </c>
      <c r="H245" s="2" t="str">
        <f>IF(data[[#This Row],[contract_type]], "permanent", "fixed-term")</f>
        <v>fixed-term</v>
      </c>
      <c r="I245" s="2" t="s">
        <v>62</v>
      </c>
    </row>
    <row r="246" spans="1:9">
      <c r="A246" s="2">
        <v>9830</v>
      </c>
      <c r="B246" s="2" t="s">
        <v>261</v>
      </c>
      <c r="C246" s="2" t="str">
        <f>IF(data[[#This Row],[gender]] = "M", "Male", "Female")</f>
        <v>Male</v>
      </c>
      <c r="D246" s="2" t="str">
        <f>UPPER(data[[#This Row],[department]])</f>
        <v>ENGINEERING</v>
      </c>
      <c r="E246" s="6">
        <v>3428454.32</v>
      </c>
      <c r="F246" s="9">
        <v>42671</v>
      </c>
      <c r="G246" s="2" t="str">
        <f>IF(data[[#This Row],[tenure]], "full time", "part time")</f>
        <v>full time</v>
      </c>
      <c r="H246" s="2" t="str">
        <f>IF(data[[#This Row],[contract_type]], "permanent", "fixed-term")</f>
        <v>permanent</v>
      </c>
      <c r="I246" s="2" t="s">
        <v>18</v>
      </c>
    </row>
    <row r="247" spans="1:9">
      <c r="A247" s="2">
        <v>9841</v>
      </c>
      <c r="B247" s="2" t="s">
        <v>262</v>
      </c>
      <c r="C247" s="2" t="str">
        <f>IF(data[[#This Row],[gender]] = "M", "Male", "Female")</f>
        <v>Male</v>
      </c>
      <c r="D247" s="2" t="str">
        <f>UPPER(data[[#This Row],[department]])</f>
        <v>ACCOUNTING</v>
      </c>
      <c r="E247" s="6">
        <v>2710734.82</v>
      </c>
      <c r="F247" s="9">
        <v>40620</v>
      </c>
      <c r="G247" s="2" t="str">
        <f>IF(data[[#This Row],[tenure]], "full time", "part time")</f>
        <v>part time</v>
      </c>
      <c r="H247" s="2" t="str">
        <f>IF(data[[#This Row],[contract_type]], "permanent", "fixed-term")</f>
        <v>permanent</v>
      </c>
      <c r="I247" s="2" t="s">
        <v>24</v>
      </c>
    </row>
    <row r="248" spans="1:9">
      <c r="A248" s="2">
        <v>9893</v>
      </c>
      <c r="B248" s="2" t="s">
        <v>263</v>
      </c>
      <c r="C248" s="2" t="str">
        <f>IF(data[[#This Row],[gender]] = "M", "Male", "Female")</f>
        <v>Female</v>
      </c>
      <c r="D248" s="2" t="str">
        <f>UPPER(data[[#This Row],[department]])</f>
        <v>SUPPORT</v>
      </c>
      <c r="E248" s="6">
        <v>3661205.12</v>
      </c>
      <c r="F248" s="9">
        <v>42892</v>
      </c>
      <c r="G248" s="2" t="str">
        <f>IF(data[[#This Row],[tenure]], "full time", "part time")</f>
        <v>part time</v>
      </c>
      <c r="H248" s="2" t="str">
        <f>IF(data[[#This Row],[contract_type]], "permanent", "fixed-term")</f>
        <v>permanent</v>
      </c>
      <c r="I248" s="2" t="s">
        <v>12</v>
      </c>
    </row>
    <row r="249" spans="1:9">
      <c r="A249" s="2">
        <v>9967</v>
      </c>
      <c r="B249" s="2" t="s">
        <v>264</v>
      </c>
      <c r="C249" s="2" t="str">
        <f>IF(data[[#This Row],[gender]] = "M", "Male", "Female")</f>
        <v>Female</v>
      </c>
      <c r="D249" s="2" t="str">
        <f>UPPER(data[[#This Row],[department]])</f>
        <v>SUPPORT</v>
      </c>
      <c r="E249" s="6">
        <v>3661205.12</v>
      </c>
      <c r="F249" s="9">
        <v>42892</v>
      </c>
      <c r="G249" s="2" t="str">
        <f>IF(data[[#This Row],[tenure]], "full time", "part time")</f>
        <v>part time</v>
      </c>
      <c r="H249" s="2" t="str">
        <f>IF(data[[#This Row],[contract_type]], "permanent", "fixed-term")</f>
        <v>permanent</v>
      </c>
      <c r="I249" s="2" t="s">
        <v>22</v>
      </c>
    </row>
    <row r="250" spans="1:9">
      <c r="A250" s="2">
        <v>9967</v>
      </c>
      <c r="B250" s="2" t="s">
        <v>265</v>
      </c>
      <c r="C250" s="2" t="str">
        <f>IF(data[[#This Row],[gender]] = "M", "Male", "Female")</f>
        <v>Female</v>
      </c>
      <c r="D250" s="2" t="str">
        <f>UPPER(data[[#This Row],[department]])</f>
        <v>LEGAL</v>
      </c>
      <c r="E250" s="6">
        <v>2803732.44</v>
      </c>
      <c r="F250" s="9">
        <v>43609</v>
      </c>
      <c r="G250" s="2" t="str">
        <f>IF(data[[#This Row],[tenure]], "full time", "part time")</f>
        <v>part time</v>
      </c>
      <c r="H250" s="2" t="str">
        <f>IF(data[[#This Row],[contract_type]], "permanent", "fixed-term")</f>
        <v>permanent</v>
      </c>
      <c r="I250" s="2" t="s">
        <v>27</v>
      </c>
    </row>
    <row r="251" spans="1:9">
      <c r="A251" s="2">
        <v>9973</v>
      </c>
      <c r="B251" s="2" t="s">
        <v>266</v>
      </c>
      <c r="C251" s="2" t="str">
        <f>IF(data[[#This Row],[gender]] = "M", "Male", "Female")</f>
        <v>Female</v>
      </c>
      <c r="D251" s="2" t="str">
        <f>UPPER(data[[#This Row],[department]])</f>
        <v>TRAINING</v>
      </c>
      <c r="E251" s="6">
        <v>1923403.57</v>
      </c>
      <c r="F251" s="9">
        <v>42265</v>
      </c>
      <c r="G251" s="2" t="str">
        <f>IF(data[[#This Row],[tenure]], "full time", "part time")</f>
        <v>full time</v>
      </c>
      <c r="H251" s="2" t="str">
        <f>IF(data[[#This Row],[contract_type]], "permanent", "fixed-term")</f>
        <v>permanent</v>
      </c>
      <c r="I251" s="2" t="s">
        <v>24</v>
      </c>
    </row>
    <row r="252" spans="1:9">
      <c r="A252" s="12"/>
      <c r="B252" s="13" t="s">
        <v>266</v>
      </c>
      <c r="C252" s="13" t="e">
        <f>IF(data[[#This Row],[gender]] = "M", "Male", "Female")</f>
        <v>#VALUE!</v>
      </c>
      <c r="D252" s="13" t="e">
        <f>UPPER(data[[#This Row],[department]])</f>
        <v>#VALUE!</v>
      </c>
      <c r="E252" s="14"/>
      <c r="F252" s="15"/>
      <c r="G252" s="13" t="e">
        <f>IF(data[[#This Row],[tenure]], "full time", "part time")</f>
        <v>#VALUE!</v>
      </c>
      <c r="H252" s="13" t="e">
        <f>IF(data[[#This Row],[contract_type]], "permanent", "fixed-term")</f>
        <v>#VALUE!</v>
      </c>
      <c r="I252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069C-7578-4851-8EE5-234B17E5EAF0}">
  <dimension ref="A1:I251"/>
  <sheetViews>
    <sheetView workbookViewId="0">
      <selection activeCell="B6" sqref="B6"/>
    </sheetView>
  </sheetViews>
  <sheetFormatPr defaultRowHeight="15"/>
  <cols>
    <col min="1" max="1" width="5.42578125" bestFit="1" customWidth="1"/>
    <col min="2" max="2" width="31.42578125" bestFit="1" customWidth="1"/>
    <col min="3" max="3" width="9.7109375" bestFit="1" customWidth="1"/>
    <col min="4" max="4" width="25.7109375" bestFit="1" customWidth="1"/>
    <col min="5" max="5" width="12.5703125" bestFit="1" customWidth="1"/>
    <col min="6" max="6" width="21.42578125" bestFit="1" customWidth="1"/>
    <col min="7" max="7" width="9.42578125" bestFit="1" customWidth="1"/>
    <col min="8" max="8" width="16" bestFit="1" customWidth="1"/>
    <col min="9" max="9" width="10.28515625" bestFit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>
        <v>3751</v>
      </c>
      <c r="B2" s="1" t="s">
        <v>267</v>
      </c>
      <c r="C2" s="1" t="s">
        <v>268</v>
      </c>
      <c r="D2" s="1" t="s">
        <v>269</v>
      </c>
      <c r="E2" s="1" t="s">
        <v>270</v>
      </c>
      <c r="F2" s="1" t="s">
        <v>271</v>
      </c>
      <c r="G2" s="1" t="b">
        <v>0</v>
      </c>
      <c r="H2" s="1" t="b">
        <v>1</v>
      </c>
      <c r="I2" s="1" t="s">
        <v>10</v>
      </c>
    </row>
    <row r="3" spans="1:9">
      <c r="A3" s="2">
        <v>9709</v>
      </c>
      <c r="B3" s="2" t="s">
        <v>272</v>
      </c>
      <c r="C3" s="2" t="s">
        <v>273</v>
      </c>
      <c r="D3" s="2" t="s">
        <v>274</v>
      </c>
      <c r="E3" s="2" t="s">
        <v>275</v>
      </c>
      <c r="F3" s="2" t="s">
        <v>276</v>
      </c>
      <c r="G3" s="2" t="b">
        <v>1</v>
      </c>
      <c r="H3" s="2" t="b">
        <v>0</v>
      </c>
      <c r="I3" s="2" t="s">
        <v>12</v>
      </c>
    </row>
    <row r="4" spans="1:9">
      <c r="A4" s="1">
        <v>1319</v>
      </c>
      <c r="B4" s="1" t="s">
        <v>277</v>
      </c>
      <c r="C4" s="1" t="s">
        <v>268</v>
      </c>
      <c r="D4" s="1" t="s">
        <v>278</v>
      </c>
      <c r="E4" s="1" t="s">
        <v>279</v>
      </c>
      <c r="F4" s="1" t="s">
        <v>280</v>
      </c>
      <c r="G4" s="1" t="b">
        <v>1</v>
      </c>
      <c r="H4" s="1" t="b">
        <v>0</v>
      </c>
      <c r="I4" s="1" t="s">
        <v>12</v>
      </c>
    </row>
    <row r="5" spans="1:9">
      <c r="A5" s="2">
        <v>5516</v>
      </c>
      <c r="B5" s="2" t="s">
        <v>281</v>
      </c>
      <c r="C5" s="2" t="s">
        <v>268</v>
      </c>
      <c r="D5" s="2" t="s">
        <v>269</v>
      </c>
      <c r="E5" s="2" t="s">
        <v>282</v>
      </c>
      <c r="F5" s="2" t="s">
        <v>283</v>
      </c>
      <c r="G5" s="2" t="b">
        <v>1</v>
      </c>
      <c r="H5" s="2" t="b">
        <v>0</v>
      </c>
      <c r="I5" s="2" t="s">
        <v>15</v>
      </c>
    </row>
    <row r="6" spans="1:9">
      <c r="A6" s="1">
        <v>3359</v>
      </c>
      <c r="B6" s="1" t="s">
        <v>284</v>
      </c>
      <c r="C6" s="1" t="s">
        <v>268</v>
      </c>
      <c r="D6" s="1" t="s">
        <v>285</v>
      </c>
      <c r="E6" s="1" t="s">
        <v>286</v>
      </c>
      <c r="F6" s="1" t="s">
        <v>287</v>
      </c>
      <c r="G6" s="1" t="b">
        <v>0</v>
      </c>
      <c r="H6" s="1" t="b">
        <v>0</v>
      </c>
      <c r="I6" s="1" t="s">
        <v>15</v>
      </c>
    </row>
    <row r="7" spans="1:9">
      <c r="A7" s="2">
        <v>5178</v>
      </c>
      <c r="B7" s="2" t="s">
        <v>288</v>
      </c>
      <c r="C7" s="2" t="s">
        <v>273</v>
      </c>
      <c r="D7" s="2" t="s">
        <v>285</v>
      </c>
      <c r="E7" s="2" t="s">
        <v>289</v>
      </c>
      <c r="F7" s="2" t="s">
        <v>290</v>
      </c>
      <c r="G7" s="2" t="b">
        <v>0</v>
      </c>
      <c r="H7" s="2" t="b">
        <v>1</v>
      </c>
      <c r="I7" s="2" t="s">
        <v>18</v>
      </c>
    </row>
    <row r="8" spans="1:9">
      <c r="A8" s="1">
        <v>6976</v>
      </c>
      <c r="B8" s="1" t="s">
        <v>291</v>
      </c>
      <c r="C8" s="1" t="s">
        <v>273</v>
      </c>
      <c r="D8" s="1" t="s">
        <v>292</v>
      </c>
      <c r="E8" s="1" t="s">
        <v>293</v>
      </c>
      <c r="F8" s="1" t="s">
        <v>294</v>
      </c>
      <c r="G8" s="1" t="b">
        <v>0</v>
      </c>
      <c r="H8" s="1" t="b">
        <v>0</v>
      </c>
      <c r="I8" s="1" t="s">
        <v>20</v>
      </c>
    </row>
    <row r="9" spans="1:9">
      <c r="A9" s="2">
        <v>9480</v>
      </c>
      <c r="B9" s="2" t="s">
        <v>295</v>
      </c>
      <c r="C9" s="2" t="s">
        <v>273</v>
      </c>
      <c r="D9" s="2" t="s">
        <v>269</v>
      </c>
      <c r="E9" s="2" t="s">
        <v>296</v>
      </c>
      <c r="F9" s="2" t="s">
        <v>297</v>
      </c>
      <c r="G9" s="2" t="b">
        <v>1</v>
      </c>
      <c r="H9" s="2" t="b">
        <v>1</v>
      </c>
      <c r="I9" s="2" t="s">
        <v>22</v>
      </c>
    </row>
    <row r="10" spans="1:9">
      <c r="A10" s="1">
        <v>1496</v>
      </c>
      <c r="B10" s="1" t="s">
        <v>298</v>
      </c>
      <c r="C10" s="1" t="s">
        <v>273</v>
      </c>
      <c r="D10" s="1" t="s">
        <v>299</v>
      </c>
      <c r="E10" s="1" t="s">
        <v>300</v>
      </c>
      <c r="F10" s="1" t="s">
        <v>301</v>
      </c>
      <c r="G10" s="1" t="b">
        <v>1</v>
      </c>
      <c r="H10" s="1" t="b">
        <v>1</v>
      </c>
      <c r="I10" s="1" t="s">
        <v>24</v>
      </c>
    </row>
    <row r="11" spans="1:9">
      <c r="A11" s="2">
        <v>5521</v>
      </c>
      <c r="B11" s="2" t="s">
        <v>302</v>
      </c>
      <c r="C11" s="2" t="s">
        <v>268</v>
      </c>
      <c r="D11" s="2" t="s">
        <v>303</v>
      </c>
      <c r="E11" s="2" t="s">
        <v>304</v>
      </c>
      <c r="F11" s="2" t="s">
        <v>305</v>
      </c>
      <c r="G11" s="2" t="b">
        <v>0</v>
      </c>
      <c r="H11" s="2" t="b">
        <v>0</v>
      </c>
      <c r="I11" s="2" t="s">
        <v>18</v>
      </c>
    </row>
    <row r="12" spans="1:9">
      <c r="A12" s="1">
        <v>9827</v>
      </c>
      <c r="B12" s="1" t="s">
        <v>306</v>
      </c>
      <c r="C12" s="1" t="s">
        <v>273</v>
      </c>
      <c r="D12" s="1" t="s">
        <v>274</v>
      </c>
      <c r="E12" s="1" t="s">
        <v>307</v>
      </c>
      <c r="F12" s="1" t="s">
        <v>308</v>
      </c>
      <c r="G12" s="1" t="b">
        <v>1</v>
      </c>
      <c r="H12" s="1" t="b">
        <v>1</v>
      </c>
      <c r="I12" s="1" t="s">
        <v>27</v>
      </c>
    </row>
    <row r="13" spans="1:9">
      <c r="A13" s="2">
        <v>1429</v>
      </c>
      <c r="B13" s="2" t="s">
        <v>309</v>
      </c>
      <c r="C13" s="2" t="s">
        <v>268</v>
      </c>
      <c r="D13" s="2" t="s">
        <v>310</v>
      </c>
      <c r="E13" s="2" t="s">
        <v>311</v>
      </c>
      <c r="F13" s="2" t="s">
        <v>312</v>
      </c>
      <c r="G13" s="2" t="b">
        <v>1</v>
      </c>
      <c r="H13" s="2" t="b">
        <v>1</v>
      </c>
      <c r="I13" s="2" t="s">
        <v>20</v>
      </c>
    </row>
    <row r="14" spans="1:9">
      <c r="A14" s="1">
        <v>2432</v>
      </c>
      <c r="B14" s="1" t="s">
        <v>313</v>
      </c>
      <c r="C14" s="1" t="s">
        <v>268</v>
      </c>
      <c r="D14" s="1" t="s">
        <v>314</v>
      </c>
      <c r="E14" s="1" t="s">
        <v>315</v>
      </c>
      <c r="F14" s="1" t="s">
        <v>316</v>
      </c>
      <c r="G14" s="1" t="b">
        <v>1</v>
      </c>
      <c r="H14" s="1" t="b">
        <v>0</v>
      </c>
      <c r="I14" s="1" t="s">
        <v>317</v>
      </c>
    </row>
    <row r="15" spans="1:9">
      <c r="A15" s="2">
        <v>2432</v>
      </c>
      <c r="B15" s="2" t="s">
        <v>318</v>
      </c>
      <c r="C15" s="2" t="s">
        <v>268</v>
      </c>
      <c r="D15" s="2" t="s">
        <v>314</v>
      </c>
      <c r="E15" s="2" t="s">
        <v>315</v>
      </c>
      <c r="F15" s="2" t="s">
        <v>316</v>
      </c>
      <c r="G15" s="2" t="b">
        <v>1</v>
      </c>
      <c r="H15" s="2" t="b">
        <v>0</v>
      </c>
      <c r="I15" s="2" t="s">
        <v>319</v>
      </c>
    </row>
    <row r="16" spans="1:9">
      <c r="A16" s="1">
        <v>1147</v>
      </c>
      <c r="B16" s="1" t="s">
        <v>320</v>
      </c>
      <c r="C16" s="1" t="s">
        <v>268</v>
      </c>
      <c r="D16" s="1" t="s">
        <v>62</v>
      </c>
      <c r="E16" s="1" t="s">
        <v>62</v>
      </c>
      <c r="F16" s="1" t="s">
        <v>321</v>
      </c>
      <c r="G16" s="1"/>
      <c r="H16" s="1" t="b">
        <v>1</v>
      </c>
      <c r="I16" s="1" t="s">
        <v>10</v>
      </c>
    </row>
    <row r="17" spans="1:9">
      <c r="A17" s="2">
        <v>1746</v>
      </c>
      <c r="B17" s="2" t="s">
        <v>322</v>
      </c>
      <c r="C17" s="2" t="s">
        <v>273</v>
      </c>
      <c r="D17" s="2" t="s">
        <v>310</v>
      </c>
      <c r="E17" s="2" t="s">
        <v>323</v>
      </c>
      <c r="F17" s="2" t="s">
        <v>324</v>
      </c>
      <c r="G17" s="2" t="b">
        <v>1</v>
      </c>
      <c r="H17" s="2" t="b">
        <v>0</v>
      </c>
      <c r="I17" s="2" t="s">
        <v>22</v>
      </c>
    </row>
    <row r="18" spans="1:9">
      <c r="A18" s="1">
        <v>6833</v>
      </c>
      <c r="B18" s="1" t="s">
        <v>325</v>
      </c>
      <c r="C18" s="1" t="s">
        <v>268</v>
      </c>
      <c r="D18" s="1" t="s">
        <v>314</v>
      </c>
      <c r="E18" s="1" t="s">
        <v>326</v>
      </c>
      <c r="F18" s="1" t="s">
        <v>327</v>
      </c>
      <c r="G18" s="1" t="b">
        <v>1</v>
      </c>
      <c r="H18" s="1" t="b">
        <v>0</v>
      </c>
      <c r="I18" s="1" t="s">
        <v>20</v>
      </c>
    </row>
    <row r="19" spans="1:9">
      <c r="A19" s="2">
        <v>9893</v>
      </c>
      <c r="B19" s="2" t="s">
        <v>328</v>
      </c>
      <c r="C19" s="2" t="s">
        <v>268</v>
      </c>
      <c r="D19" s="2" t="s">
        <v>274</v>
      </c>
      <c r="E19" s="2" t="s">
        <v>329</v>
      </c>
      <c r="F19" s="2" t="s">
        <v>330</v>
      </c>
      <c r="G19" s="2" t="b">
        <v>1</v>
      </c>
      <c r="H19" s="2" t="b">
        <v>0</v>
      </c>
      <c r="I19" s="2" t="s">
        <v>15</v>
      </c>
    </row>
    <row r="20" spans="1:9">
      <c r="A20" s="1">
        <v>3683</v>
      </c>
      <c r="B20" s="1" t="s">
        <v>331</v>
      </c>
      <c r="C20" s="1" t="s">
        <v>268</v>
      </c>
      <c r="D20" s="1" t="s">
        <v>314</v>
      </c>
      <c r="E20" s="1" t="s">
        <v>332</v>
      </c>
      <c r="F20" s="1" t="s">
        <v>333</v>
      </c>
      <c r="G20" s="1" t="b">
        <v>0</v>
      </c>
      <c r="H20" s="1" t="b">
        <v>1</v>
      </c>
      <c r="I20" s="1" t="s">
        <v>334</v>
      </c>
    </row>
    <row r="21" spans="1:9">
      <c r="A21" s="2">
        <v>5341</v>
      </c>
      <c r="B21" s="2" t="s">
        <v>335</v>
      </c>
      <c r="C21" s="2" t="s">
        <v>268</v>
      </c>
      <c r="D21" s="2" t="s">
        <v>292</v>
      </c>
      <c r="E21" s="2" t="s">
        <v>336</v>
      </c>
      <c r="F21" s="2" t="s">
        <v>337</v>
      </c>
      <c r="G21" s="2" t="b">
        <v>1</v>
      </c>
      <c r="H21" s="2" t="b">
        <v>1</v>
      </c>
      <c r="I21" s="2" t="s">
        <v>338</v>
      </c>
    </row>
    <row r="22" spans="1:9">
      <c r="A22" s="1">
        <v>5086</v>
      </c>
      <c r="B22" s="1" t="s">
        <v>339</v>
      </c>
      <c r="C22" s="1" t="s">
        <v>273</v>
      </c>
      <c r="D22" s="1" t="s">
        <v>310</v>
      </c>
      <c r="E22" s="1" t="s">
        <v>340</v>
      </c>
      <c r="F22" s="1" t="s">
        <v>341</v>
      </c>
      <c r="G22" s="1" t="b">
        <v>0</v>
      </c>
      <c r="H22" s="1" t="b">
        <v>0</v>
      </c>
      <c r="I22" s="1" t="s">
        <v>342</v>
      </c>
    </row>
    <row r="23" spans="1:9">
      <c r="A23" s="2">
        <v>3677</v>
      </c>
      <c r="B23" s="2" t="s">
        <v>343</v>
      </c>
      <c r="C23" s="2" t="s">
        <v>268</v>
      </c>
      <c r="D23" s="2" t="s">
        <v>285</v>
      </c>
      <c r="E23" s="2" t="s">
        <v>344</v>
      </c>
      <c r="F23" s="2" t="s">
        <v>345</v>
      </c>
      <c r="G23" s="2" t="b">
        <v>0</v>
      </c>
      <c r="H23" s="2" t="b">
        <v>0</v>
      </c>
      <c r="I23" s="2" t="s">
        <v>15</v>
      </c>
    </row>
    <row r="24" spans="1:9">
      <c r="A24" s="1">
        <v>6852</v>
      </c>
      <c r="B24" s="1" t="s">
        <v>346</v>
      </c>
      <c r="C24" s="1" t="s">
        <v>273</v>
      </c>
      <c r="D24" s="1" t="s">
        <v>274</v>
      </c>
      <c r="E24" s="1" t="s">
        <v>347</v>
      </c>
      <c r="F24" s="1" t="s">
        <v>348</v>
      </c>
      <c r="G24" s="1" t="b">
        <v>1</v>
      </c>
      <c r="H24" s="1" t="b">
        <v>1</v>
      </c>
      <c r="I24" s="1" t="s">
        <v>18</v>
      </c>
    </row>
    <row r="25" spans="1:9">
      <c r="A25" s="2">
        <v>4539</v>
      </c>
      <c r="B25" s="2" t="s">
        <v>349</v>
      </c>
      <c r="C25" s="2" t="s">
        <v>268</v>
      </c>
      <c r="D25" s="2" t="s">
        <v>314</v>
      </c>
      <c r="E25" s="2" t="s">
        <v>350</v>
      </c>
      <c r="F25" s="2" t="s">
        <v>351</v>
      </c>
      <c r="G25" s="2" t="b">
        <v>1</v>
      </c>
      <c r="H25" s="2" t="b">
        <v>1</v>
      </c>
      <c r="I25" s="2" t="s">
        <v>27</v>
      </c>
    </row>
    <row r="26" spans="1:9">
      <c r="A26" s="1">
        <v>5750</v>
      </c>
      <c r="B26" s="1" t="s">
        <v>352</v>
      </c>
      <c r="C26" s="1" t="s">
        <v>268</v>
      </c>
      <c r="D26" s="1" t="s">
        <v>278</v>
      </c>
      <c r="E26" s="1" t="s">
        <v>353</v>
      </c>
      <c r="F26" s="1" t="s">
        <v>354</v>
      </c>
      <c r="G26" s="1" t="b">
        <v>0</v>
      </c>
      <c r="H26" s="1" t="b">
        <v>0</v>
      </c>
      <c r="I26" s="1" t="s">
        <v>12</v>
      </c>
    </row>
    <row r="27" spans="1:9">
      <c r="A27" s="2">
        <v>2824</v>
      </c>
      <c r="B27" s="2" t="s">
        <v>355</v>
      </c>
      <c r="C27" s="2" t="s">
        <v>273</v>
      </c>
      <c r="D27" s="2" t="s">
        <v>356</v>
      </c>
      <c r="E27" s="2" t="s">
        <v>357</v>
      </c>
      <c r="F27" s="2" t="s">
        <v>358</v>
      </c>
      <c r="G27" s="2" t="b">
        <v>0</v>
      </c>
      <c r="H27" s="2" t="b">
        <v>1</v>
      </c>
      <c r="I27" s="2" t="s">
        <v>359</v>
      </c>
    </row>
    <row r="28" spans="1:9">
      <c r="A28" s="1">
        <v>3838</v>
      </c>
      <c r="B28" s="1" t="s">
        <v>360</v>
      </c>
      <c r="C28" s="1" t="s">
        <v>268</v>
      </c>
      <c r="D28" s="1" t="s">
        <v>292</v>
      </c>
      <c r="E28" s="1" t="s">
        <v>361</v>
      </c>
      <c r="F28" s="1" t="s">
        <v>362</v>
      </c>
      <c r="G28" s="1" t="b">
        <v>1</v>
      </c>
      <c r="H28" s="1" t="b">
        <v>0</v>
      </c>
      <c r="I28" s="1" t="s">
        <v>15</v>
      </c>
    </row>
    <row r="29" spans="1:9">
      <c r="A29" s="2">
        <v>3838</v>
      </c>
      <c r="B29" s="2" t="s">
        <v>363</v>
      </c>
      <c r="C29" s="2" t="s">
        <v>268</v>
      </c>
      <c r="D29" s="2" t="s">
        <v>292</v>
      </c>
      <c r="E29" s="2" t="s">
        <v>361</v>
      </c>
      <c r="F29" s="2" t="s">
        <v>362</v>
      </c>
      <c r="G29" s="2" t="b">
        <v>1</v>
      </c>
      <c r="H29" s="2" t="b">
        <v>0</v>
      </c>
      <c r="I29" s="2" t="s">
        <v>18</v>
      </c>
    </row>
    <row r="30" spans="1:9">
      <c r="A30" s="1">
        <v>8039</v>
      </c>
      <c r="B30" s="1" t="s">
        <v>364</v>
      </c>
      <c r="C30" s="1" t="s">
        <v>273</v>
      </c>
      <c r="D30" s="1" t="s">
        <v>269</v>
      </c>
      <c r="E30" s="1" t="s">
        <v>365</v>
      </c>
      <c r="F30" s="1" t="s">
        <v>366</v>
      </c>
      <c r="G30" s="1" t="b">
        <v>0</v>
      </c>
      <c r="H30" s="1" t="b">
        <v>1</v>
      </c>
      <c r="I30" s="1" t="s">
        <v>12</v>
      </c>
    </row>
    <row r="31" spans="1:9">
      <c r="A31" s="2">
        <v>4838</v>
      </c>
      <c r="B31" s="2" t="s">
        <v>367</v>
      </c>
      <c r="C31" s="2" t="s">
        <v>273</v>
      </c>
      <c r="D31" s="2" t="s">
        <v>368</v>
      </c>
      <c r="E31" s="2" t="s">
        <v>369</v>
      </c>
      <c r="F31" s="2" t="s">
        <v>370</v>
      </c>
      <c r="G31" s="2" t="b">
        <v>0</v>
      </c>
      <c r="H31" s="2" t="b">
        <v>0</v>
      </c>
      <c r="I31" s="2" t="s">
        <v>22</v>
      </c>
    </row>
    <row r="32" spans="1:9">
      <c r="A32" s="1">
        <v>2854</v>
      </c>
      <c r="B32" s="1" t="s">
        <v>371</v>
      </c>
      <c r="C32" s="1" t="s">
        <v>273</v>
      </c>
      <c r="D32" s="1" t="s">
        <v>285</v>
      </c>
      <c r="E32" s="1" t="s">
        <v>372</v>
      </c>
      <c r="F32" s="1" t="s">
        <v>373</v>
      </c>
      <c r="G32" s="1" t="b">
        <v>1</v>
      </c>
      <c r="H32" s="1" t="b">
        <v>0</v>
      </c>
      <c r="I32" s="1" t="s">
        <v>374</v>
      </c>
    </row>
    <row r="33" spans="1:9">
      <c r="A33" s="2">
        <v>2854</v>
      </c>
      <c r="B33" s="2" t="s">
        <v>375</v>
      </c>
      <c r="C33" s="2" t="s">
        <v>273</v>
      </c>
      <c r="D33" s="2" t="s">
        <v>285</v>
      </c>
      <c r="E33" s="2" t="s">
        <v>372</v>
      </c>
      <c r="F33" s="2" t="s">
        <v>373</v>
      </c>
      <c r="G33" s="2" t="b">
        <v>1</v>
      </c>
      <c r="H33" s="2" t="b">
        <v>0</v>
      </c>
      <c r="I33" s="2" t="s">
        <v>10</v>
      </c>
    </row>
    <row r="34" spans="1:9">
      <c r="A34" s="1">
        <v>2976</v>
      </c>
      <c r="B34" s="1" t="s">
        <v>376</v>
      </c>
      <c r="C34" s="1" t="s">
        <v>268</v>
      </c>
      <c r="D34" s="1" t="s">
        <v>269</v>
      </c>
      <c r="E34" s="1" t="s">
        <v>377</v>
      </c>
      <c r="F34" s="1" t="s">
        <v>378</v>
      </c>
      <c r="G34" s="1" t="b">
        <v>0</v>
      </c>
      <c r="H34" s="1" t="b">
        <v>1</v>
      </c>
      <c r="I34" s="1" t="s">
        <v>379</v>
      </c>
    </row>
    <row r="35" spans="1:9">
      <c r="A35" s="2">
        <v>2976</v>
      </c>
      <c r="B35" s="2" t="s">
        <v>380</v>
      </c>
      <c r="C35" s="2" t="s">
        <v>268</v>
      </c>
      <c r="D35" s="2" t="s">
        <v>269</v>
      </c>
      <c r="E35" s="2" t="s">
        <v>377</v>
      </c>
      <c r="F35" s="2" t="s">
        <v>378</v>
      </c>
      <c r="G35" s="2" t="b">
        <v>0</v>
      </c>
      <c r="H35" s="2" t="b">
        <v>1</v>
      </c>
      <c r="I35" s="2" t="s">
        <v>10</v>
      </c>
    </row>
    <row r="36" spans="1:9">
      <c r="A36" s="1">
        <v>4412</v>
      </c>
      <c r="B36" s="1" t="s">
        <v>381</v>
      </c>
      <c r="C36" s="1" t="s">
        <v>268</v>
      </c>
      <c r="D36" s="1" t="s">
        <v>368</v>
      </c>
      <c r="E36" s="1" t="s">
        <v>382</v>
      </c>
      <c r="F36" s="1" t="s">
        <v>383</v>
      </c>
      <c r="G36" s="1" t="b">
        <v>0</v>
      </c>
      <c r="H36" s="1" t="b">
        <v>1</v>
      </c>
      <c r="I36" s="1" t="s">
        <v>10</v>
      </c>
    </row>
    <row r="37" spans="1:9">
      <c r="A37" s="2">
        <v>6657</v>
      </c>
      <c r="B37" s="2" t="s">
        <v>384</v>
      </c>
      <c r="C37" s="2" t="s">
        <v>268</v>
      </c>
      <c r="D37" s="2" t="s">
        <v>303</v>
      </c>
      <c r="E37" s="2" t="s">
        <v>385</v>
      </c>
      <c r="F37" s="2" t="s">
        <v>386</v>
      </c>
      <c r="G37" s="2" t="b">
        <v>1</v>
      </c>
      <c r="H37" s="2" t="b">
        <v>1</v>
      </c>
      <c r="I37" s="2" t="s">
        <v>20</v>
      </c>
    </row>
    <row r="38" spans="1:9">
      <c r="A38" s="1">
        <v>5678</v>
      </c>
      <c r="B38" s="1" t="s">
        <v>387</v>
      </c>
      <c r="C38" s="1" t="s">
        <v>273</v>
      </c>
      <c r="D38" s="1" t="s">
        <v>278</v>
      </c>
      <c r="E38" s="1" t="s">
        <v>388</v>
      </c>
      <c r="F38" s="1" t="s">
        <v>389</v>
      </c>
      <c r="G38" s="1" t="b">
        <v>0</v>
      </c>
      <c r="H38" s="1" t="b">
        <v>1</v>
      </c>
      <c r="I38" s="1" t="s">
        <v>12</v>
      </c>
    </row>
    <row r="39" spans="1:9">
      <c r="A39" s="2">
        <v>8338</v>
      </c>
      <c r="B39" s="2" t="s">
        <v>390</v>
      </c>
      <c r="C39" s="2" t="s">
        <v>268</v>
      </c>
      <c r="D39" s="2" t="s">
        <v>274</v>
      </c>
      <c r="E39" s="2" t="s">
        <v>391</v>
      </c>
      <c r="F39" s="2" t="s">
        <v>392</v>
      </c>
      <c r="G39" s="2" t="b">
        <v>1</v>
      </c>
      <c r="H39" s="2" t="b">
        <v>1</v>
      </c>
      <c r="I39" s="2" t="s">
        <v>15</v>
      </c>
    </row>
    <row r="40" spans="1:9">
      <c r="A40" s="1">
        <v>7487</v>
      </c>
      <c r="B40" s="1" t="s">
        <v>393</v>
      </c>
      <c r="C40" s="1" t="s">
        <v>268</v>
      </c>
      <c r="D40" s="1" t="s">
        <v>368</v>
      </c>
      <c r="E40" s="1" t="s">
        <v>394</v>
      </c>
      <c r="F40" s="1" t="s">
        <v>395</v>
      </c>
      <c r="G40" s="1" t="b">
        <v>1</v>
      </c>
      <c r="H40" s="1" t="b">
        <v>0</v>
      </c>
      <c r="I40" s="1" t="s">
        <v>24</v>
      </c>
    </row>
    <row r="41" spans="1:9">
      <c r="A41" s="2">
        <v>5822</v>
      </c>
      <c r="B41" s="2" t="s">
        <v>396</v>
      </c>
      <c r="C41" s="2" t="s">
        <v>268</v>
      </c>
      <c r="D41" s="2" t="s">
        <v>285</v>
      </c>
      <c r="E41" s="2" t="s">
        <v>397</v>
      </c>
      <c r="F41" s="2" t="s">
        <v>398</v>
      </c>
      <c r="G41" s="2" t="b">
        <v>0</v>
      </c>
      <c r="H41" s="2" t="b">
        <v>1</v>
      </c>
      <c r="I41" s="2" t="s">
        <v>15</v>
      </c>
    </row>
    <row r="42" spans="1:9">
      <c r="A42" s="1">
        <v>1938</v>
      </c>
      <c r="B42" s="1" t="s">
        <v>399</v>
      </c>
      <c r="C42" s="1" t="s">
        <v>273</v>
      </c>
      <c r="D42" s="1" t="s">
        <v>356</v>
      </c>
      <c r="E42" s="1" t="s">
        <v>400</v>
      </c>
      <c r="F42" s="1" t="s">
        <v>401</v>
      </c>
      <c r="G42" s="1" t="b">
        <v>1</v>
      </c>
      <c r="H42" s="1" t="b">
        <v>1</v>
      </c>
      <c r="I42" s="1" t="s">
        <v>10</v>
      </c>
    </row>
    <row r="43" spans="1:9">
      <c r="A43" s="2">
        <v>4829</v>
      </c>
      <c r="B43" s="2" t="s">
        <v>402</v>
      </c>
      <c r="C43" s="2" t="s">
        <v>268</v>
      </c>
      <c r="D43" s="2" t="s">
        <v>303</v>
      </c>
      <c r="E43" s="2" t="s">
        <v>403</v>
      </c>
      <c r="F43" s="2" t="s">
        <v>404</v>
      </c>
      <c r="G43" s="2" t="b">
        <v>1</v>
      </c>
      <c r="H43" s="2" t="b">
        <v>0</v>
      </c>
      <c r="I43" s="2" t="s">
        <v>18</v>
      </c>
    </row>
    <row r="44" spans="1:9">
      <c r="A44" s="1">
        <v>4595</v>
      </c>
      <c r="B44" s="1" t="s">
        <v>405</v>
      </c>
      <c r="C44" s="1" t="s">
        <v>268</v>
      </c>
      <c r="D44" s="1" t="s">
        <v>368</v>
      </c>
      <c r="E44" s="1" t="s">
        <v>406</v>
      </c>
      <c r="F44" s="1" t="s">
        <v>407</v>
      </c>
      <c r="G44" s="1" t="b">
        <v>0</v>
      </c>
      <c r="H44" s="1" t="b">
        <v>1</v>
      </c>
      <c r="I44" s="1" t="s">
        <v>20</v>
      </c>
    </row>
    <row r="45" spans="1:9">
      <c r="A45" s="2">
        <v>8062</v>
      </c>
      <c r="B45" s="2" t="s">
        <v>408</v>
      </c>
      <c r="C45" s="2" t="s">
        <v>268</v>
      </c>
      <c r="D45" s="2" t="s">
        <v>274</v>
      </c>
      <c r="E45" s="2" t="s">
        <v>409</v>
      </c>
      <c r="F45" s="2" t="s">
        <v>410</v>
      </c>
      <c r="G45" s="2" t="b">
        <v>1</v>
      </c>
      <c r="H45" s="2" t="b">
        <v>1</v>
      </c>
      <c r="I45" s="2" t="s">
        <v>10</v>
      </c>
    </row>
    <row r="46" spans="1:9">
      <c r="A46" s="1">
        <v>8524</v>
      </c>
      <c r="B46" s="1" t="s">
        <v>411</v>
      </c>
      <c r="C46" s="1" t="s">
        <v>273</v>
      </c>
      <c r="D46" s="1" t="s">
        <v>285</v>
      </c>
      <c r="E46" s="1" t="s">
        <v>412</v>
      </c>
      <c r="F46" s="1" t="s">
        <v>413</v>
      </c>
      <c r="G46" s="1" t="b">
        <v>1</v>
      </c>
      <c r="H46" s="1" t="b">
        <v>1</v>
      </c>
      <c r="I46" s="1" t="s">
        <v>62</v>
      </c>
    </row>
    <row r="47" spans="1:9">
      <c r="A47" s="2">
        <v>1582</v>
      </c>
      <c r="B47" s="2" t="s">
        <v>414</v>
      </c>
      <c r="C47" s="2" t="s">
        <v>268</v>
      </c>
      <c r="D47" s="2" t="s">
        <v>356</v>
      </c>
      <c r="E47" s="2" t="s">
        <v>415</v>
      </c>
      <c r="F47" s="2" t="s">
        <v>416</v>
      </c>
      <c r="G47" s="2" t="b">
        <v>0</v>
      </c>
      <c r="H47" s="2" t="b">
        <v>1</v>
      </c>
      <c r="I47" s="2" t="s">
        <v>10</v>
      </c>
    </row>
    <row r="48" spans="1:9">
      <c r="A48" s="1">
        <v>5027</v>
      </c>
      <c r="B48" s="1" t="s">
        <v>417</v>
      </c>
      <c r="C48" s="1" t="s">
        <v>268</v>
      </c>
      <c r="D48" s="1" t="s">
        <v>368</v>
      </c>
      <c r="E48" s="1" t="s">
        <v>418</v>
      </c>
      <c r="F48" s="1" t="s">
        <v>419</v>
      </c>
      <c r="G48" s="1" t="b">
        <v>0</v>
      </c>
      <c r="H48" s="1" t="b">
        <v>1</v>
      </c>
      <c r="I48" s="1" t="s">
        <v>27</v>
      </c>
    </row>
    <row r="49" spans="1:9">
      <c r="A49" s="2">
        <v>7397</v>
      </c>
      <c r="B49" s="2" t="s">
        <v>420</v>
      </c>
      <c r="C49" s="2" t="s">
        <v>273</v>
      </c>
      <c r="D49" s="2" t="s">
        <v>292</v>
      </c>
      <c r="E49" s="2" t="s">
        <v>421</v>
      </c>
      <c r="F49" s="2" t="s">
        <v>422</v>
      </c>
      <c r="G49" s="2" t="b">
        <v>0</v>
      </c>
      <c r="H49" s="2" t="b">
        <v>1</v>
      </c>
      <c r="I49" s="2" t="s">
        <v>12</v>
      </c>
    </row>
    <row r="50" spans="1:9">
      <c r="A50" s="1">
        <v>2189</v>
      </c>
      <c r="B50" s="1" t="s">
        <v>423</v>
      </c>
      <c r="C50" s="1" t="s">
        <v>268</v>
      </c>
      <c r="D50" s="1" t="s">
        <v>368</v>
      </c>
      <c r="E50" s="1" t="s">
        <v>424</v>
      </c>
      <c r="F50" s="1" t="s">
        <v>425</v>
      </c>
      <c r="G50" s="1" t="b">
        <v>0</v>
      </c>
      <c r="H50" s="1" t="b">
        <v>1</v>
      </c>
      <c r="I50" s="1" t="s">
        <v>22</v>
      </c>
    </row>
    <row r="51" spans="1:9">
      <c r="A51" s="2">
        <v>7381</v>
      </c>
      <c r="B51" s="2" t="s">
        <v>426</v>
      </c>
      <c r="C51" s="2" t="s">
        <v>268</v>
      </c>
      <c r="D51" s="2" t="s">
        <v>303</v>
      </c>
      <c r="E51" s="2" t="s">
        <v>427</v>
      </c>
      <c r="F51" s="2" t="s">
        <v>428</v>
      </c>
      <c r="G51" s="2" t="b">
        <v>1</v>
      </c>
      <c r="H51" s="2" t="b">
        <v>0</v>
      </c>
      <c r="I51" s="2" t="s">
        <v>10</v>
      </c>
    </row>
    <row r="52" spans="1:9">
      <c r="A52" s="1">
        <v>7199</v>
      </c>
      <c r="B52" s="1" t="s">
        <v>429</v>
      </c>
      <c r="C52" s="1" t="s">
        <v>273</v>
      </c>
      <c r="D52" s="1" t="s">
        <v>285</v>
      </c>
      <c r="E52" s="1" t="s">
        <v>430</v>
      </c>
      <c r="F52" s="1" t="s">
        <v>431</v>
      </c>
      <c r="G52" s="1" t="b">
        <v>0</v>
      </c>
      <c r="H52" s="1" t="b">
        <v>1</v>
      </c>
      <c r="I52" s="1" t="s">
        <v>10</v>
      </c>
    </row>
    <row r="53" spans="1:9">
      <c r="A53" s="2">
        <v>1064</v>
      </c>
      <c r="B53" s="2" t="s">
        <v>432</v>
      </c>
      <c r="C53" s="2" t="s">
        <v>273</v>
      </c>
      <c r="D53" s="2" t="s">
        <v>278</v>
      </c>
      <c r="E53" s="2" t="s">
        <v>433</v>
      </c>
      <c r="F53" s="2" t="s">
        <v>434</v>
      </c>
      <c r="G53" s="2" t="b">
        <v>0</v>
      </c>
      <c r="H53" s="2" t="b">
        <v>0</v>
      </c>
      <c r="I53" s="2" t="s">
        <v>62</v>
      </c>
    </row>
    <row r="54" spans="1:9">
      <c r="A54" s="1">
        <v>1371</v>
      </c>
      <c r="B54" s="1" t="s">
        <v>435</v>
      </c>
      <c r="C54" s="1" t="s">
        <v>268</v>
      </c>
      <c r="D54" s="1" t="s">
        <v>292</v>
      </c>
      <c r="E54" s="1" t="s">
        <v>436</v>
      </c>
      <c r="F54" s="1" t="s">
        <v>437</v>
      </c>
      <c r="G54" s="1" t="b">
        <v>0</v>
      </c>
      <c r="H54" s="1" t="b">
        <v>0</v>
      </c>
      <c r="I54" s="1" t="s">
        <v>18</v>
      </c>
    </row>
    <row r="55" spans="1:9">
      <c r="A55" s="2">
        <v>1549</v>
      </c>
      <c r="B55" s="2" t="s">
        <v>438</v>
      </c>
      <c r="C55" s="2" t="s">
        <v>268</v>
      </c>
      <c r="D55" s="2" t="s">
        <v>278</v>
      </c>
      <c r="E55" s="2" t="s">
        <v>439</v>
      </c>
      <c r="F55" s="2" t="s">
        <v>440</v>
      </c>
      <c r="G55" s="2" t="b">
        <v>0</v>
      </c>
      <c r="H55" s="2" t="b">
        <v>0</v>
      </c>
      <c r="I55" s="2" t="s">
        <v>18</v>
      </c>
    </row>
    <row r="56" spans="1:9">
      <c r="A56" s="1">
        <v>1957</v>
      </c>
      <c r="B56" s="1" t="s">
        <v>441</v>
      </c>
      <c r="C56" s="1" t="s">
        <v>273</v>
      </c>
      <c r="D56" s="1" t="s">
        <v>285</v>
      </c>
      <c r="E56" s="1" t="s">
        <v>442</v>
      </c>
      <c r="F56" s="1" t="s">
        <v>443</v>
      </c>
      <c r="G56" s="1" t="b">
        <v>0</v>
      </c>
      <c r="H56" s="1" t="b">
        <v>1</v>
      </c>
      <c r="I56" s="1" t="s">
        <v>18</v>
      </c>
    </row>
    <row r="57" spans="1:9">
      <c r="A57" s="2">
        <v>6936</v>
      </c>
      <c r="B57" s="2" t="s">
        <v>444</v>
      </c>
      <c r="C57" s="2" t="s">
        <v>273</v>
      </c>
      <c r="D57" s="2" t="s">
        <v>299</v>
      </c>
      <c r="E57" s="2" t="s">
        <v>445</v>
      </c>
      <c r="F57" s="2" t="s">
        <v>446</v>
      </c>
      <c r="G57" s="2" t="b">
        <v>0</v>
      </c>
      <c r="H57" s="2" t="b">
        <v>1</v>
      </c>
      <c r="I57" s="2" t="s">
        <v>62</v>
      </c>
    </row>
    <row r="58" spans="1:9">
      <c r="A58" s="1">
        <v>2511</v>
      </c>
      <c r="B58" s="1" t="s">
        <v>447</v>
      </c>
      <c r="C58" s="1" t="s">
        <v>273</v>
      </c>
      <c r="D58" s="1" t="s">
        <v>269</v>
      </c>
      <c r="E58" s="1" t="s">
        <v>448</v>
      </c>
      <c r="F58" s="1" t="s">
        <v>449</v>
      </c>
      <c r="G58" s="1" t="b">
        <v>1</v>
      </c>
      <c r="H58" s="1" t="b">
        <v>0</v>
      </c>
      <c r="I58" s="1" t="s">
        <v>27</v>
      </c>
    </row>
    <row r="59" spans="1:9">
      <c r="A59" s="2">
        <v>6714</v>
      </c>
      <c r="B59" s="2" t="s">
        <v>450</v>
      </c>
      <c r="C59" s="2" t="s">
        <v>273</v>
      </c>
      <c r="D59" s="2" t="s">
        <v>292</v>
      </c>
      <c r="E59" s="2" t="s">
        <v>451</v>
      </c>
      <c r="F59" s="2" t="s">
        <v>452</v>
      </c>
      <c r="G59" s="2" t="b">
        <v>0</v>
      </c>
      <c r="H59" s="2" t="b">
        <v>1</v>
      </c>
      <c r="I59" s="2" t="s">
        <v>20</v>
      </c>
    </row>
    <row r="60" spans="1:9">
      <c r="A60" s="1">
        <v>9549</v>
      </c>
      <c r="B60" s="1" t="s">
        <v>453</v>
      </c>
      <c r="C60" s="1" t="s">
        <v>268</v>
      </c>
      <c r="D60" s="1" t="s">
        <v>356</v>
      </c>
      <c r="E60" s="1" t="s">
        <v>454</v>
      </c>
      <c r="F60" s="1" t="s">
        <v>455</v>
      </c>
      <c r="G60" s="1" t="b">
        <v>1</v>
      </c>
      <c r="H60" s="1" t="b">
        <v>0</v>
      </c>
      <c r="I60" s="1" t="s">
        <v>12</v>
      </c>
    </row>
    <row r="61" spans="1:9">
      <c r="A61" s="2">
        <v>4633</v>
      </c>
      <c r="B61" s="2" t="s">
        <v>456</v>
      </c>
      <c r="C61" s="2" t="s">
        <v>268</v>
      </c>
      <c r="D61" s="2" t="s">
        <v>292</v>
      </c>
      <c r="E61" s="2" t="s">
        <v>457</v>
      </c>
      <c r="F61" s="2" t="s">
        <v>458</v>
      </c>
      <c r="G61" s="2" t="b">
        <v>1</v>
      </c>
      <c r="H61" s="2" t="b">
        <v>1</v>
      </c>
      <c r="I61" s="2" t="s">
        <v>15</v>
      </c>
    </row>
    <row r="62" spans="1:9">
      <c r="A62" s="1">
        <v>6065</v>
      </c>
      <c r="B62" s="1" t="s">
        <v>459</v>
      </c>
      <c r="C62" s="1" t="s">
        <v>268</v>
      </c>
      <c r="D62" s="1" t="s">
        <v>285</v>
      </c>
      <c r="E62" s="1" t="s">
        <v>460</v>
      </c>
      <c r="F62" s="1" t="s">
        <v>461</v>
      </c>
      <c r="G62" s="1" t="b">
        <v>0</v>
      </c>
      <c r="H62" s="1" t="b">
        <v>1</v>
      </c>
      <c r="I62" s="1" t="s">
        <v>462</v>
      </c>
    </row>
    <row r="63" spans="1:9">
      <c r="A63" s="2">
        <v>1135</v>
      </c>
      <c r="B63" s="2" t="s">
        <v>463</v>
      </c>
      <c r="C63" s="2" t="s">
        <v>268</v>
      </c>
      <c r="D63" s="2" t="s">
        <v>299</v>
      </c>
      <c r="E63" s="2" t="s">
        <v>464</v>
      </c>
      <c r="F63" s="2" t="s">
        <v>465</v>
      </c>
      <c r="G63" s="2" t="b">
        <v>1</v>
      </c>
      <c r="H63" s="2" t="b">
        <v>1</v>
      </c>
      <c r="I63" s="2" t="s">
        <v>338</v>
      </c>
    </row>
    <row r="64" spans="1:9">
      <c r="A64" s="1">
        <v>4185</v>
      </c>
      <c r="B64" s="1" t="s">
        <v>466</v>
      </c>
      <c r="C64" s="1" t="s">
        <v>268</v>
      </c>
      <c r="D64" s="1" t="s">
        <v>274</v>
      </c>
      <c r="E64" s="1" t="s">
        <v>467</v>
      </c>
      <c r="F64" s="1" t="s">
        <v>468</v>
      </c>
      <c r="G64" s="1" t="b">
        <v>0</v>
      </c>
      <c r="H64" s="1" t="b">
        <v>1</v>
      </c>
      <c r="I64" s="1" t="s">
        <v>18</v>
      </c>
    </row>
    <row r="65" spans="1:9">
      <c r="A65" s="2">
        <v>2376</v>
      </c>
      <c r="B65" s="2" t="s">
        <v>469</v>
      </c>
      <c r="C65" s="2" t="s">
        <v>273</v>
      </c>
      <c r="D65" s="2" t="s">
        <v>274</v>
      </c>
      <c r="E65" s="2" t="s">
        <v>470</v>
      </c>
      <c r="F65" s="2" t="s">
        <v>471</v>
      </c>
      <c r="G65" s="2" t="b">
        <v>1</v>
      </c>
      <c r="H65" s="2" t="b">
        <v>1</v>
      </c>
      <c r="I65" s="2" t="s">
        <v>10</v>
      </c>
    </row>
    <row r="66" spans="1:9">
      <c r="A66" s="1">
        <v>4907</v>
      </c>
      <c r="B66" s="1" t="s">
        <v>472</v>
      </c>
      <c r="C66" s="1" t="s">
        <v>273</v>
      </c>
      <c r="D66" s="1" t="s">
        <v>292</v>
      </c>
      <c r="E66" s="1" t="s">
        <v>473</v>
      </c>
      <c r="F66" s="1" t="s">
        <v>474</v>
      </c>
      <c r="G66" s="1" t="b">
        <v>0</v>
      </c>
      <c r="H66" s="1" t="b">
        <v>0</v>
      </c>
      <c r="I66" s="1" t="s">
        <v>20</v>
      </c>
    </row>
    <row r="67" spans="1:9">
      <c r="A67" s="2">
        <v>5235</v>
      </c>
      <c r="B67" s="2" t="s">
        <v>475</v>
      </c>
      <c r="C67" s="2" t="s">
        <v>268</v>
      </c>
      <c r="D67" s="2" t="s">
        <v>303</v>
      </c>
      <c r="E67" s="2" t="s">
        <v>476</v>
      </c>
      <c r="F67" s="2" t="s">
        <v>477</v>
      </c>
      <c r="G67" s="2" t="b">
        <v>1</v>
      </c>
      <c r="H67" s="2" t="b">
        <v>0</v>
      </c>
      <c r="I67" s="2" t="s">
        <v>15</v>
      </c>
    </row>
    <row r="68" spans="1:9">
      <c r="A68" s="1">
        <v>1794</v>
      </c>
      <c r="B68" s="1" t="s">
        <v>478</v>
      </c>
      <c r="C68" s="1" t="s">
        <v>268</v>
      </c>
      <c r="D68" s="1" t="s">
        <v>269</v>
      </c>
      <c r="E68" s="1" t="s">
        <v>479</v>
      </c>
      <c r="F68" s="1" t="s">
        <v>480</v>
      </c>
      <c r="G68" s="1" t="b">
        <v>1</v>
      </c>
      <c r="H68" s="1" t="b">
        <v>1</v>
      </c>
      <c r="I68" s="1" t="s">
        <v>27</v>
      </c>
    </row>
    <row r="69" spans="1:9">
      <c r="A69" s="2">
        <v>7540</v>
      </c>
      <c r="B69" s="2" t="s">
        <v>481</v>
      </c>
      <c r="C69" s="2" t="s">
        <v>273</v>
      </c>
      <c r="D69" s="2" t="s">
        <v>314</v>
      </c>
      <c r="E69" s="2" t="s">
        <v>482</v>
      </c>
      <c r="F69" s="2" t="s">
        <v>483</v>
      </c>
      <c r="G69" s="2" t="b">
        <v>1</v>
      </c>
      <c r="H69" s="2" t="b">
        <v>1</v>
      </c>
      <c r="I69" s="2" t="s">
        <v>18</v>
      </c>
    </row>
    <row r="70" spans="1:9">
      <c r="A70" s="1">
        <v>1490</v>
      </c>
      <c r="B70" s="1" t="s">
        <v>484</v>
      </c>
      <c r="C70" s="1" t="s">
        <v>273</v>
      </c>
      <c r="D70" s="1" t="s">
        <v>269</v>
      </c>
      <c r="E70" s="1" t="s">
        <v>485</v>
      </c>
      <c r="F70" s="1" t="s">
        <v>486</v>
      </c>
      <c r="G70" s="1" t="b">
        <v>0</v>
      </c>
      <c r="H70" s="1" t="b">
        <v>1</v>
      </c>
      <c r="I70" s="1" t="s">
        <v>24</v>
      </c>
    </row>
    <row r="71" spans="1:9">
      <c r="A71" s="2">
        <v>2078</v>
      </c>
      <c r="B71" s="2" t="s">
        <v>487</v>
      </c>
      <c r="C71" s="2" t="s">
        <v>268</v>
      </c>
      <c r="D71" s="2" t="s">
        <v>310</v>
      </c>
      <c r="E71" s="2" t="s">
        <v>488</v>
      </c>
      <c r="F71" s="2" t="s">
        <v>489</v>
      </c>
      <c r="G71" s="2" t="b">
        <v>1</v>
      </c>
      <c r="H71" s="2" t="b">
        <v>1</v>
      </c>
      <c r="I71" s="2" t="s">
        <v>62</v>
      </c>
    </row>
    <row r="72" spans="1:9">
      <c r="A72" s="1">
        <v>2149</v>
      </c>
      <c r="B72" s="1" t="s">
        <v>490</v>
      </c>
      <c r="C72" s="1" t="s">
        <v>273</v>
      </c>
      <c r="D72" s="1" t="s">
        <v>62</v>
      </c>
      <c r="E72" s="1" t="s">
        <v>62</v>
      </c>
      <c r="F72" s="1" t="s">
        <v>491</v>
      </c>
      <c r="G72" s="1"/>
      <c r="H72" s="1" t="b">
        <v>0</v>
      </c>
      <c r="I72" s="1" t="s">
        <v>492</v>
      </c>
    </row>
    <row r="73" spans="1:9">
      <c r="A73" s="2">
        <v>2149</v>
      </c>
      <c r="B73" s="2" t="s">
        <v>493</v>
      </c>
      <c r="C73" s="2" t="s">
        <v>273</v>
      </c>
      <c r="D73" s="2" t="s">
        <v>62</v>
      </c>
      <c r="E73" s="2" t="s">
        <v>62</v>
      </c>
      <c r="F73" s="2" t="s">
        <v>491</v>
      </c>
      <c r="G73" s="2"/>
      <c r="H73" s="2" t="b">
        <v>0</v>
      </c>
      <c r="I73" s="2" t="s">
        <v>27</v>
      </c>
    </row>
    <row r="74" spans="1:9">
      <c r="A74" s="1">
        <v>6140</v>
      </c>
      <c r="B74" s="1" t="s">
        <v>494</v>
      </c>
      <c r="C74" s="1" t="s">
        <v>268</v>
      </c>
      <c r="D74" s="1" t="s">
        <v>278</v>
      </c>
      <c r="E74" s="1" t="s">
        <v>495</v>
      </c>
      <c r="F74" s="1" t="s">
        <v>496</v>
      </c>
      <c r="G74" s="1" t="b">
        <v>1</v>
      </c>
      <c r="H74" s="1" t="b">
        <v>1</v>
      </c>
      <c r="I74" s="1" t="s">
        <v>24</v>
      </c>
    </row>
    <row r="75" spans="1:9">
      <c r="A75" s="2">
        <v>6140</v>
      </c>
      <c r="B75" s="2" t="s">
        <v>497</v>
      </c>
      <c r="C75" s="2" t="s">
        <v>268</v>
      </c>
      <c r="D75" s="2" t="s">
        <v>278</v>
      </c>
      <c r="E75" s="2" t="s">
        <v>495</v>
      </c>
      <c r="F75" s="2" t="s">
        <v>496</v>
      </c>
      <c r="G75" s="2" t="b">
        <v>1</v>
      </c>
      <c r="H75" s="2" t="b">
        <v>1</v>
      </c>
      <c r="I75" s="2" t="s">
        <v>20</v>
      </c>
    </row>
    <row r="76" spans="1:9">
      <c r="A76" s="1">
        <v>5962</v>
      </c>
      <c r="B76" s="1" t="s">
        <v>498</v>
      </c>
      <c r="C76" s="1" t="s">
        <v>273</v>
      </c>
      <c r="D76" s="1" t="s">
        <v>278</v>
      </c>
      <c r="E76" s="1" t="s">
        <v>499</v>
      </c>
      <c r="F76" s="1" t="s">
        <v>500</v>
      </c>
      <c r="G76" s="1" t="b">
        <v>1</v>
      </c>
      <c r="H76" s="1" t="b">
        <v>1</v>
      </c>
      <c r="I76" s="1" t="s">
        <v>20</v>
      </c>
    </row>
    <row r="77" spans="1:9">
      <c r="A77" s="2">
        <v>9045</v>
      </c>
      <c r="B77" s="2" t="s">
        <v>501</v>
      </c>
      <c r="C77" s="2" t="s">
        <v>273</v>
      </c>
      <c r="D77" s="2" t="s">
        <v>356</v>
      </c>
      <c r="E77" s="2" t="s">
        <v>502</v>
      </c>
      <c r="F77" s="2" t="s">
        <v>503</v>
      </c>
      <c r="G77" s="2" t="b">
        <v>1</v>
      </c>
      <c r="H77" s="2" t="b">
        <v>0</v>
      </c>
      <c r="I77" s="2" t="s">
        <v>15</v>
      </c>
    </row>
    <row r="78" spans="1:9">
      <c r="A78" s="1">
        <v>2754</v>
      </c>
      <c r="B78" s="1" t="s">
        <v>504</v>
      </c>
      <c r="C78" s="1" t="s">
        <v>273</v>
      </c>
      <c r="D78" s="1" t="s">
        <v>278</v>
      </c>
      <c r="E78" s="1" t="s">
        <v>505</v>
      </c>
      <c r="F78" s="1" t="s">
        <v>506</v>
      </c>
      <c r="G78" s="1" t="b">
        <v>0</v>
      </c>
      <c r="H78" s="1" t="b">
        <v>0</v>
      </c>
      <c r="I78" s="1" t="s">
        <v>22</v>
      </c>
    </row>
    <row r="79" spans="1:9">
      <c r="A79" s="2">
        <v>9177</v>
      </c>
      <c r="B79" s="2" t="s">
        <v>507</v>
      </c>
      <c r="C79" s="2" t="s">
        <v>273</v>
      </c>
      <c r="D79" s="2" t="s">
        <v>274</v>
      </c>
      <c r="E79" s="2" t="s">
        <v>508</v>
      </c>
      <c r="F79" s="2" t="s">
        <v>509</v>
      </c>
      <c r="G79" s="2" t="b">
        <v>0</v>
      </c>
      <c r="H79" s="2" t="b">
        <v>0</v>
      </c>
      <c r="I79" s="2" t="s">
        <v>24</v>
      </c>
    </row>
    <row r="80" spans="1:9">
      <c r="A80" s="1">
        <v>8155</v>
      </c>
      <c r="B80" s="1" t="s">
        <v>510</v>
      </c>
      <c r="C80" s="1" t="s">
        <v>273</v>
      </c>
      <c r="D80" s="1" t="s">
        <v>299</v>
      </c>
      <c r="E80" s="1" t="s">
        <v>511</v>
      </c>
      <c r="F80" s="1" t="s">
        <v>512</v>
      </c>
      <c r="G80" s="1" t="b">
        <v>1</v>
      </c>
      <c r="H80" s="1" t="b">
        <v>1</v>
      </c>
      <c r="I80" s="1" t="s">
        <v>20</v>
      </c>
    </row>
    <row r="81" spans="1:9">
      <c r="A81" s="2">
        <v>8155</v>
      </c>
      <c r="B81" s="2" t="s">
        <v>513</v>
      </c>
      <c r="C81" s="2" t="s">
        <v>273</v>
      </c>
      <c r="D81" s="2" t="s">
        <v>299</v>
      </c>
      <c r="E81" s="2" t="s">
        <v>511</v>
      </c>
      <c r="F81" s="2" t="s">
        <v>512</v>
      </c>
      <c r="G81" s="2" t="b">
        <v>1</v>
      </c>
      <c r="H81" s="2" t="b">
        <v>1</v>
      </c>
      <c r="I81" s="2" t="s">
        <v>12</v>
      </c>
    </row>
    <row r="82" spans="1:9">
      <c r="A82" s="1">
        <v>2382</v>
      </c>
      <c r="B82" s="1" t="s">
        <v>514</v>
      </c>
      <c r="C82" s="1" t="s">
        <v>268</v>
      </c>
      <c r="D82" s="1" t="s">
        <v>356</v>
      </c>
      <c r="E82" s="1" t="s">
        <v>515</v>
      </c>
      <c r="F82" s="1" t="s">
        <v>516</v>
      </c>
      <c r="G82" s="1" t="b">
        <v>1</v>
      </c>
      <c r="H82" s="1" t="b">
        <v>1</v>
      </c>
      <c r="I82" s="1" t="s">
        <v>517</v>
      </c>
    </row>
    <row r="83" spans="1:9">
      <c r="A83" s="2">
        <v>1616</v>
      </c>
      <c r="B83" s="2" t="s">
        <v>518</v>
      </c>
      <c r="C83" s="2" t="s">
        <v>273</v>
      </c>
      <c r="D83" s="2" t="s">
        <v>314</v>
      </c>
      <c r="E83" s="2" t="s">
        <v>519</v>
      </c>
      <c r="F83" s="2" t="s">
        <v>520</v>
      </c>
      <c r="G83" s="2" t="b">
        <v>0</v>
      </c>
      <c r="H83" s="2" t="b">
        <v>1</v>
      </c>
      <c r="I83" s="2" t="s">
        <v>12</v>
      </c>
    </row>
    <row r="84" spans="1:9">
      <c r="A84" s="1">
        <v>5689</v>
      </c>
      <c r="B84" s="1" t="s">
        <v>521</v>
      </c>
      <c r="C84" s="1" t="s">
        <v>273</v>
      </c>
      <c r="D84" s="1" t="s">
        <v>368</v>
      </c>
      <c r="E84" s="1" t="s">
        <v>522</v>
      </c>
      <c r="F84" s="1" t="s">
        <v>523</v>
      </c>
      <c r="G84" s="1" t="b">
        <v>0</v>
      </c>
      <c r="H84" s="1" t="b">
        <v>0</v>
      </c>
      <c r="I84" s="1" t="s">
        <v>524</v>
      </c>
    </row>
    <row r="85" spans="1:9">
      <c r="A85" s="2">
        <v>3031</v>
      </c>
      <c r="B85" s="2" t="s">
        <v>525</v>
      </c>
      <c r="C85" s="2" t="s">
        <v>273</v>
      </c>
      <c r="D85" s="2" t="s">
        <v>526</v>
      </c>
      <c r="E85" s="2" t="s">
        <v>527</v>
      </c>
      <c r="F85" s="2" t="s">
        <v>528</v>
      </c>
      <c r="G85" s="2" t="b">
        <v>1</v>
      </c>
      <c r="H85" s="2" t="b">
        <v>1</v>
      </c>
      <c r="I85" s="2" t="s">
        <v>27</v>
      </c>
    </row>
    <row r="86" spans="1:9">
      <c r="A86" s="1">
        <v>9303</v>
      </c>
      <c r="B86" s="1" t="s">
        <v>529</v>
      </c>
      <c r="C86" s="1" t="s">
        <v>268</v>
      </c>
      <c r="D86" s="1" t="s">
        <v>285</v>
      </c>
      <c r="E86" s="1" t="s">
        <v>530</v>
      </c>
      <c r="F86" s="1" t="s">
        <v>531</v>
      </c>
      <c r="G86" s="1" t="b">
        <v>1</v>
      </c>
      <c r="H86" s="1" t="b">
        <v>0</v>
      </c>
      <c r="I86" s="1" t="s">
        <v>27</v>
      </c>
    </row>
    <row r="87" spans="1:9">
      <c r="A87" s="2">
        <v>5795</v>
      </c>
      <c r="B87" s="2" t="s">
        <v>532</v>
      </c>
      <c r="C87" s="2" t="s">
        <v>268</v>
      </c>
      <c r="D87" s="2" t="s">
        <v>314</v>
      </c>
      <c r="E87" s="2" t="s">
        <v>533</v>
      </c>
      <c r="F87" s="2" t="s">
        <v>534</v>
      </c>
      <c r="G87" s="2" t="b">
        <v>0</v>
      </c>
      <c r="H87" s="2" t="b">
        <v>1</v>
      </c>
      <c r="I87" s="2" t="s">
        <v>535</v>
      </c>
    </row>
    <row r="88" spans="1:9">
      <c r="A88" s="1">
        <v>7779</v>
      </c>
      <c r="B88" s="1" t="s">
        <v>536</v>
      </c>
      <c r="C88" s="1" t="s">
        <v>268</v>
      </c>
      <c r="D88" s="1" t="s">
        <v>62</v>
      </c>
      <c r="E88" s="1" t="s">
        <v>62</v>
      </c>
      <c r="F88" s="1" t="s">
        <v>537</v>
      </c>
      <c r="G88" s="1"/>
      <c r="H88" s="1" t="b">
        <v>1</v>
      </c>
      <c r="I88" s="1" t="s">
        <v>10</v>
      </c>
    </row>
    <row r="89" spans="1:9">
      <c r="A89" s="2">
        <v>6582</v>
      </c>
      <c r="B89" s="2" t="s">
        <v>538</v>
      </c>
      <c r="C89" s="2" t="s">
        <v>268</v>
      </c>
      <c r="D89" s="2" t="s">
        <v>274</v>
      </c>
      <c r="E89" s="2" t="s">
        <v>539</v>
      </c>
      <c r="F89" s="2" t="s">
        <v>540</v>
      </c>
      <c r="G89" s="2" t="b">
        <v>0</v>
      </c>
      <c r="H89" s="2" t="b">
        <v>0</v>
      </c>
      <c r="I89" s="2" t="s">
        <v>24</v>
      </c>
    </row>
    <row r="90" spans="1:9">
      <c r="A90" s="1">
        <v>1026</v>
      </c>
      <c r="B90" s="1" t="s">
        <v>541</v>
      </c>
      <c r="C90" s="1" t="s">
        <v>273</v>
      </c>
      <c r="D90" s="1" t="s">
        <v>368</v>
      </c>
      <c r="E90" s="1" t="s">
        <v>542</v>
      </c>
      <c r="F90" s="1" t="s">
        <v>543</v>
      </c>
      <c r="G90" s="1" t="b">
        <v>0</v>
      </c>
      <c r="H90" s="1" t="b">
        <v>0</v>
      </c>
      <c r="I90" s="1" t="s">
        <v>24</v>
      </c>
    </row>
    <row r="91" spans="1:9">
      <c r="A91" s="2">
        <v>9111</v>
      </c>
      <c r="B91" s="2" t="s">
        <v>544</v>
      </c>
      <c r="C91" s="2" t="s">
        <v>273</v>
      </c>
      <c r="D91" s="2" t="s">
        <v>299</v>
      </c>
      <c r="E91" s="2" t="s">
        <v>545</v>
      </c>
      <c r="F91" s="2" t="s">
        <v>546</v>
      </c>
      <c r="G91" s="2" t="b">
        <v>1</v>
      </c>
      <c r="H91" s="2" t="b">
        <v>1</v>
      </c>
      <c r="I91" s="2" t="s">
        <v>27</v>
      </c>
    </row>
    <row r="92" spans="1:9">
      <c r="A92" s="1">
        <v>8540</v>
      </c>
      <c r="B92" s="1" t="s">
        <v>547</v>
      </c>
      <c r="C92" s="1" t="s">
        <v>268</v>
      </c>
      <c r="D92" s="1" t="s">
        <v>356</v>
      </c>
      <c r="E92" s="1" t="s">
        <v>548</v>
      </c>
      <c r="F92" s="1" t="s">
        <v>549</v>
      </c>
      <c r="G92" s="1" t="b">
        <v>0</v>
      </c>
      <c r="H92" s="1" t="b">
        <v>1</v>
      </c>
      <c r="I92" s="1" t="s">
        <v>550</v>
      </c>
    </row>
    <row r="93" spans="1:9">
      <c r="A93" s="2">
        <v>7358</v>
      </c>
      <c r="B93" s="2" t="s">
        <v>551</v>
      </c>
      <c r="C93" s="2" t="s">
        <v>273</v>
      </c>
      <c r="D93" s="2" t="s">
        <v>552</v>
      </c>
      <c r="E93" s="2" t="s">
        <v>553</v>
      </c>
      <c r="F93" s="2" t="s">
        <v>554</v>
      </c>
      <c r="G93" s="2" t="b">
        <v>1</v>
      </c>
      <c r="H93" s="2" t="b">
        <v>1</v>
      </c>
      <c r="I93" s="2" t="s">
        <v>22</v>
      </c>
    </row>
    <row r="94" spans="1:9">
      <c r="A94" s="1">
        <v>8069</v>
      </c>
      <c r="B94" s="1" t="s">
        <v>555</v>
      </c>
      <c r="C94" s="1" t="s">
        <v>268</v>
      </c>
      <c r="D94" s="1" t="s">
        <v>526</v>
      </c>
      <c r="E94" s="1" t="s">
        <v>556</v>
      </c>
      <c r="F94" s="1" t="s">
        <v>557</v>
      </c>
      <c r="G94" s="1" t="b">
        <v>1</v>
      </c>
      <c r="H94" s="1" t="b">
        <v>1</v>
      </c>
      <c r="I94" s="1" t="s">
        <v>20</v>
      </c>
    </row>
    <row r="95" spans="1:9">
      <c r="A95" s="2">
        <v>9973</v>
      </c>
      <c r="B95" s="2" t="s">
        <v>558</v>
      </c>
      <c r="C95" s="2" t="s">
        <v>273</v>
      </c>
      <c r="D95" s="2" t="s">
        <v>368</v>
      </c>
      <c r="E95" s="2" t="s">
        <v>559</v>
      </c>
      <c r="F95" s="2" t="s">
        <v>560</v>
      </c>
      <c r="G95" s="2" t="b">
        <v>1</v>
      </c>
      <c r="H95" s="2" t="b">
        <v>0</v>
      </c>
      <c r="I95" s="2" t="s">
        <v>24</v>
      </c>
    </row>
    <row r="96" spans="1:9">
      <c r="A96" s="1">
        <v>5551</v>
      </c>
      <c r="B96" s="1" t="s">
        <v>561</v>
      </c>
      <c r="C96" s="1" t="s">
        <v>273</v>
      </c>
      <c r="D96" s="1" t="s">
        <v>314</v>
      </c>
      <c r="E96" s="1" t="s">
        <v>562</v>
      </c>
      <c r="F96" s="1" t="s">
        <v>563</v>
      </c>
      <c r="G96" s="1" t="b">
        <v>1</v>
      </c>
      <c r="H96" s="1" t="b">
        <v>1</v>
      </c>
      <c r="I96" s="1" t="s">
        <v>15</v>
      </c>
    </row>
    <row r="97" spans="1:9">
      <c r="A97" s="2">
        <v>4553</v>
      </c>
      <c r="B97" s="2" t="s">
        <v>564</v>
      </c>
      <c r="C97" s="2" t="s">
        <v>273</v>
      </c>
      <c r="D97" s="2" t="s">
        <v>314</v>
      </c>
      <c r="E97" s="2" t="s">
        <v>565</v>
      </c>
      <c r="F97" s="2" t="s">
        <v>566</v>
      </c>
      <c r="G97" s="2" t="b">
        <v>1</v>
      </c>
      <c r="H97" s="2" t="b">
        <v>1</v>
      </c>
      <c r="I97" s="2" t="s">
        <v>567</v>
      </c>
    </row>
    <row r="98" spans="1:9">
      <c r="A98" s="1">
        <v>9200</v>
      </c>
      <c r="B98" s="1" t="s">
        <v>568</v>
      </c>
      <c r="C98" s="1" t="s">
        <v>273</v>
      </c>
      <c r="D98" s="1" t="s">
        <v>356</v>
      </c>
      <c r="E98" s="1" t="s">
        <v>569</v>
      </c>
      <c r="F98" s="1" t="s">
        <v>570</v>
      </c>
      <c r="G98" s="1" t="b">
        <v>0</v>
      </c>
      <c r="H98" s="1" t="b">
        <v>0</v>
      </c>
      <c r="I98" s="1" t="s">
        <v>18</v>
      </c>
    </row>
    <row r="99" spans="1:9">
      <c r="A99" s="2">
        <v>2187</v>
      </c>
      <c r="B99" s="2" t="s">
        <v>571</v>
      </c>
      <c r="C99" s="2" t="s">
        <v>268</v>
      </c>
      <c r="D99" s="2" t="s">
        <v>285</v>
      </c>
      <c r="E99" s="2" t="s">
        <v>572</v>
      </c>
      <c r="F99" s="2" t="s">
        <v>573</v>
      </c>
      <c r="G99" s="2" t="b">
        <v>0</v>
      </c>
      <c r="H99" s="2" t="b">
        <v>0</v>
      </c>
      <c r="I99" s="2" t="s">
        <v>27</v>
      </c>
    </row>
    <row r="100" spans="1:9">
      <c r="A100" s="1">
        <v>1241</v>
      </c>
      <c r="B100" s="1" t="s">
        <v>574</v>
      </c>
      <c r="C100" s="1" t="s">
        <v>273</v>
      </c>
      <c r="D100" s="1" t="s">
        <v>356</v>
      </c>
      <c r="E100" s="1" t="s">
        <v>575</v>
      </c>
      <c r="F100" s="1" t="s">
        <v>576</v>
      </c>
      <c r="G100" s="1" t="b">
        <v>0</v>
      </c>
      <c r="H100" s="1" t="b">
        <v>0</v>
      </c>
      <c r="I100" s="1" t="s">
        <v>577</v>
      </c>
    </row>
    <row r="101" spans="1:9">
      <c r="A101" s="2">
        <v>2152</v>
      </c>
      <c r="B101" s="2" t="s">
        <v>578</v>
      </c>
      <c r="C101" s="2" t="s">
        <v>273</v>
      </c>
      <c r="D101" s="2" t="s">
        <v>314</v>
      </c>
      <c r="E101" s="2" t="s">
        <v>579</v>
      </c>
      <c r="F101" s="2" t="s">
        <v>580</v>
      </c>
      <c r="G101" s="2" t="b">
        <v>1</v>
      </c>
      <c r="H101" s="2" t="b">
        <v>1</v>
      </c>
      <c r="I101" s="2" t="s">
        <v>22</v>
      </c>
    </row>
    <row r="102" spans="1:9">
      <c r="A102" s="1">
        <v>5651</v>
      </c>
      <c r="B102" s="1" t="s">
        <v>581</v>
      </c>
      <c r="C102" s="1" t="s">
        <v>273</v>
      </c>
      <c r="D102" s="1" t="s">
        <v>292</v>
      </c>
      <c r="E102" s="1" t="s">
        <v>582</v>
      </c>
      <c r="F102" s="1" t="s">
        <v>583</v>
      </c>
      <c r="G102" s="1" t="b">
        <v>1</v>
      </c>
      <c r="H102" s="1" t="b">
        <v>0</v>
      </c>
      <c r="I102" s="1" t="s">
        <v>22</v>
      </c>
    </row>
    <row r="103" spans="1:9">
      <c r="A103" s="2">
        <v>1789</v>
      </c>
      <c r="B103" s="2" t="s">
        <v>584</v>
      </c>
      <c r="C103" s="2" t="s">
        <v>268</v>
      </c>
      <c r="D103" s="2" t="s">
        <v>314</v>
      </c>
      <c r="E103" s="2" t="s">
        <v>585</v>
      </c>
      <c r="F103" s="2" t="s">
        <v>586</v>
      </c>
      <c r="G103" s="2" t="b">
        <v>1</v>
      </c>
      <c r="H103" s="2" t="b">
        <v>0</v>
      </c>
      <c r="I103" s="2" t="s">
        <v>587</v>
      </c>
    </row>
    <row r="104" spans="1:9">
      <c r="A104" s="1">
        <v>1143</v>
      </c>
      <c r="B104" s="1" t="s">
        <v>588</v>
      </c>
      <c r="C104" s="1" t="s">
        <v>268</v>
      </c>
      <c r="D104" s="1" t="s">
        <v>299</v>
      </c>
      <c r="E104" s="1" t="s">
        <v>589</v>
      </c>
      <c r="F104" s="1" t="s">
        <v>590</v>
      </c>
      <c r="G104" s="1" t="b">
        <v>0</v>
      </c>
      <c r="H104" s="1" t="b">
        <v>0</v>
      </c>
      <c r="I104" s="1" t="s">
        <v>591</v>
      </c>
    </row>
    <row r="105" spans="1:9">
      <c r="A105" s="2">
        <v>2710</v>
      </c>
      <c r="B105" s="2" t="s">
        <v>592</v>
      </c>
      <c r="C105" s="2" t="s">
        <v>268</v>
      </c>
      <c r="D105" s="2" t="s">
        <v>310</v>
      </c>
      <c r="E105" s="2" t="s">
        <v>593</v>
      </c>
      <c r="F105" s="2" t="s">
        <v>594</v>
      </c>
      <c r="G105" s="2" t="b">
        <v>0</v>
      </c>
      <c r="H105" s="2" t="b">
        <v>1</v>
      </c>
      <c r="I105" s="2" t="s">
        <v>27</v>
      </c>
    </row>
    <row r="106" spans="1:9">
      <c r="A106" s="1">
        <v>1639</v>
      </c>
      <c r="B106" s="1" t="s">
        <v>595</v>
      </c>
      <c r="C106" s="1" t="s">
        <v>268</v>
      </c>
      <c r="D106" s="1" t="s">
        <v>310</v>
      </c>
      <c r="E106" s="1" t="s">
        <v>596</v>
      </c>
      <c r="F106" s="1" t="s">
        <v>597</v>
      </c>
      <c r="G106" s="1" t="b">
        <v>1</v>
      </c>
      <c r="H106" s="1" t="b">
        <v>0</v>
      </c>
      <c r="I106" s="1" t="s">
        <v>27</v>
      </c>
    </row>
    <row r="107" spans="1:9">
      <c r="A107" s="2">
        <v>5991</v>
      </c>
      <c r="B107" s="2" t="s">
        <v>598</v>
      </c>
      <c r="C107" s="2" t="s">
        <v>273</v>
      </c>
      <c r="D107" s="2" t="s">
        <v>285</v>
      </c>
      <c r="E107" s="2" t="s">
        <v>599</v>
      </c>
      <c r="F107" s="2" t="s">
        <v>600</v>
      </c>
      <c r="G107" s="2" t="b">
        <v>1</v>
      </c>
      <c r="H107" s="2" t="b">
        <v>1</v>
      </c>
      <c r="I107" s="2" t="s">
        <v>24</v>
      </c>
    </row>
    <row r="108" spans="1:9">
      <c r="A108" s="1">
        <v>9455</v>
      </c>
      <c r="B108" s="1" t="s">
        <v>601</v>
      </c>
      <c r="C108" s="1" t="s">
        <v>273</v>
      </c>
      <c r="D108" s="1" t="s">
        <v>310</v>
      </c>
      <c r="E108" s="1" t="s">
        <v>602</v>
      </c>
      <c r="F108" s="1" t="s">
        <v>603</v>
      </c>
      <c r="G108" s="1" t="b">
        <v>0</v>
      </c>
      <c r="H108" s="1" t="b">
        <v>1</v>
      </c>
      <c r="I108" s="1" t="s">
        <v>22</v>
      </c>
    </row>
    <row r="109" spans="1:9">
      <c r="A109" s="2">
        <v>7416</v>
      </c>
      <c r="B109" s="2" t="s">
        <v>604</v>
      </c>
      <c r="C109" s="2" t="s">
        <v>273</v>
      </c>
      <c r="D109" s="2" t="s">
        <v>310</v>
      </c>
      <c r="E109" s="2" t="s">
        <v>605</v>
      </c>
      <c r="F109" s="2" t="s">
        <v>606</v>
      </c>
      <c r="G109" s="2" t="b">
        <v>1</v>
      </c>
      <c r="H109" s="2" t="b">
        <v>1</v>
      </c>
      <c r="I109" s="2" t="s">
        <v>24</v>
      </c>
    </row>
    <row r="110" spans="1:9">
      <c r="A110" s="1">
        <v>7044</v>
      </c>
      <c r="B110" s="1" t="s">
        <v>607</v>
      </c>
      <c r="C110" s="1" t="s">
        <v>273</v>
      </c>
      <c r="D110" s="1" t="s">
        <v>608</v>
      </c>
      <c r="E110" s="1" t="s">
        <v>609</v>
      </c>
      <c r="F110" s="1" t="s">
        <v>610</v>
      </c>
      <c r="G110" s="1" t="b">
        <v>1</v>
      </c>
      <c r="H110" s="1" t="b">
        <v>1</v>
      </c>
      <c r="I110" s="1" t="s">
        <v>611</v>
      </c>
    </row>
    <row r="111" spans="1:9">
      <c r="A111" s="2">
        <v>1925</v>
      </c>
      <c r="B111" s="2" t="s">
        <v>612</v>
      </c>
      <c r="C111" s="2" t="s">
        <v>273</v>
      </c>
      <c r="D111" s="2" t="s">
        <v>356</v>
      </c>
      <c r="E111" s="2" t="s">
        <v>613</v>
      </c>
      <c r="F111" s="2" t="s">
        <v>614</v>
      </c>
      <c r="G111" s="2" t="b">
        <v>0</v>
      </c>
      <c r="H111" s="2" t="b">
        <v>0</v>
      </c>
      <c r="I111" s="2" t="s">
        <v>20</v>
      </c>
    </row>
    <row r="112" spans="1:9">
      <c r="A112" s="1">
        <v>6521</v>
      </c>
      <c r="B112" s="1" t="s">
        <v>615</v>
      </c>
      <c r="C112" s="1" t="s">
        <v>268</v>
      </c>
      <c r="D112" s="1" t="s">
        <v>274</v>
      </c>
      <c r="E112" s="1" t="s">
        <v>616</v>
      </c>
      <c r="F112" s="1" t="s">
        <v>617</v>
      </c>
      <c r="G112" s="1" t="b">
        <v>0</v>
      </c>
      <c r="H112" s="1" t="b">
        <v>1</v>
      </c>
      <c r="I112" s="1" t="s">
        <v>24</v>
      </c>
    </row>
    <row r="113" spans="1:9">
      <c r="A113" s="2">
        <v>4412</v>
      </c>
      <c r="B113" s="2" t="s">
        <v>618</v>
      </c>
      <c r="C113" s="2" t="s">
        <v>268</v>
      </c>
      <c r="D113" s="2" t="s">
        <v>285</v>
      </c>
      <c r="E113" s="2" t="s">
        <v>619</v>
      </c>
      <c r="F113" s="2" t="s">
        <v>620</v>
      </c>
      <c r="G113" s="2" t="b">
        <v>0</v>
      </c>
      <c r="H113" s="2" t="b">
        <v>1</v>
      </c>
      <c r="I113" s="2" t="s">
        <v>20</v>
      </c>
    </row>
    <row r="114" spans="1:9">
      <c r="A114" s="1">
        <v>3932</v>
      </c>
      <c r="B114" s="1" t="s">
        <v>621</v>
      </c>
      <c r="C114" s="1" t="s">
        <v>268</v>
      </c>
      <c r="D114" s="1" t="s">
        <v>285</v>
      </c>
      <c r="E114" s="1" t="s">
        <v>622</v>
      </c>
      <c r="F114" s="1" t="s">
        <v>623</v>
      </c>
      <c r="G114" s="1" t="b">
        <v>0</v>
      </c>
      <c r="H114" s="1" t="b">
        <v>0</v>
      </c>
      <c r="I114" s="1" t="s">
        <v>12</v>
      </c>
    </row>
    <row r="115" spans="1:9">
      <c r="A115" s="2">
        <v>2090</v>
      </c>
      <c r="B115" s="2" t="s">
        <v>624</v>
      </c>
      <c r="C115" s="2" t="s">
        <v>268</v>
      </c>
      <c r="D115" s="2" t="s">
        <v>278</v>
      </c>
      <c r="E115" s="2" t="s">
        <v>625</v>
      </c>
      <c r="F115" s="2" t="s">
        <v>446</v>
      </c>
      <c r="G115" s="2" t="b">
        <v>0</v>
      </c>
      <c r="H115" s="2" t="b">
        <v>1</v>
      </c>
      <c r="I115" s="2" t="s">
        <v>15</v>
      </c>
    </row>
    <row r="116" spans="1:9">
      <c r="A116" s="1">
        <v>1074</v>
      </c>
      <c r="B116" s="1" t="s">
        <v>626</v>
      </c>
      <c r="C116" s="1" t="s">
        <v>273</v>
      </c>
      <c r="D116" s="1" t="s">
        <v>368</v>
      </c>
      <c r="E116" s="1" t="s">
        <v>627</v>
      </c>
      <c r="F116" s="1" t="s">
        <v>628</v>
      </c>
      <c r="G116" s="1" t="b">
        <v>1</v>
      </c>
      <c r="H116" s="1" t="b">
        <v>1</v>
      </c>
      <c r="I116" s="1" t="s">
        <v>24</v>
      </c>
    </row>
    <row r="117" spans="1:9">
      <c r="A117" s="2">
        <v>6330</v>
      </c>
      <c r="B117" s="2" t="s">
        <v>629</v>
      </c>
      <c r="C117" s="2" t="s">
        <v>268</v>
      </c>
      <c r="D117" s="2" t="s">
        <v>299</v>
      </c>
      <c r="E117" s="2" t="s">
        <v>630</v>
      </c>
      <c r="F117" s="2" t="s">
        <v>631</v>
      </c>
      <c r="G117" s="2" t="b">
        <v>1</v>
      </c>
      <c r="H117" s="2" t="b">
        <v>1</v>
      </c>
      <c r="I117" s="2" t="s">
        <v>18</v>
      </c>
    </row>
    <row r="118" spans="1:9">
      <c r="A118" s="1">
        <v>1475</v>
      </c>
      <c r="B118" s="1" t="s">
        <v>632</v>
      </c>
      <c r="C118" s="1" t="s">
        <v>268</v>
      </c>
      <c r="D118" s="1" t="s">
        <v>310</v>
      </c>
      <c r="E118" s="1" t="s">
        <v>633</v>
      </c>
      <c r="F118" s="1" t="s">
        <v>634</v>
      </c>
      <c r="G118" s="1" t="b">
        <v>1</v>
      </c>
      <c r="H118" s="1" t="b">
        <v>0</v>
      </c>
      <c r="I118" s="1" t="s">
        <v>635</v>
      </c>
    </row>
    <row r="119" spans="1:9">
      <c r="A119" s="2">
        <v>3183</v>
      </c>
      <c r="B119" s="2" t="s">
        <v>636</v>
      </c>
      <c r="C119" s="2" t="s">
        <v>268</v>
      </c>
      <c r="D119" s="2" t="s">
        <v>269</v>
      </c>
      <c r="E119" s="2" t="s">
        <v>637</v>
      </c>
      <c r="F119" s="2" t="s">
        <v>638</v>
      </c>
      <c r="G119" s="2" t="b">
        <v>1</v>
      </c>
      <c r="H119" s="2" t="b">
        <v>0</v>
      </c>
      <c r="I119" s="2" t="s">
        <v>15</v>
      </c>
    </row>
    <row r="120" spans="1:9">
      <c r="A120" s="1">
        <v>4049</v>
      </c>
      <c r="B120" s="1" t="s">
        <v>639</v>
      </c>
      <c r="C120" s="1" t="s">
        <v>273</v>
      </c>
      <c r="D120" s="1" t="s">
        <v>356</v>
      </c>
      <c r="E120" s="1" t="s">
        <v>640</v>
      </c>
      <c r="F120" s="1" t="s">
        <v>641</v>
      </c>
      <c r="G120" s="1" t="b">
        <v>1</v>
      </c>
      <c r="H120" s="1" t="b">
        <v>1</v>
      </c>
      <c r="I120" s="1" t="s">
        <v>20</v>
      </c>
    </row>
    <row r="121" spans="1:9">
      <c r="A121" s="2">
        <v>8113</v>
      </c>
      <c r="B121" s="2" t="s">
        <v>642</v>
      </c>
      <c r="C121" s="2" t="s">
        <v>273</v>
      </c>
      <c r="D121" s="2" t="s">
        <v>368</v>
      </c>
      <c r="E121" s="2" t="s">
        <v>643</v>
      </c>
      <c r="F121" s="2" t="s">
        <v>644</v>
      </c>
      <c r="G121" s="2" t="b">
        <v>1</v>
      </c>
      <c r="H121" s="2" t="b">
        <v>1</v>
      </c>
      <c r="I121" s="2" t="s">
        <v>10</v>
      </c>
    </row>
    <row r="122" spans="1:9">
      <c r="A122" s="1">
        <v>3802</v>
      </c>
      <c r="B122" s="1" t="s">
        <v>645</v>
      </c>
      <c r="C122" s="1" t="s">
        <v>268</v>
      </c>
      <c r="D122" s="1" t="s">
        <v>314</v>
      </c>
      <c r="E122" s="1" t="s">
        <v>646</v>
      </c>
      <c r="F122" s="1" t="s">
        <v>647</v>
      </c>
      <c r="G122" s="1" t="b">
        <v>0</v>
      </c>
      <c r="H122" s="1" t="b">
        <v>1</v>
      </c>
      <c r="I122" s="1" t="s">
        <v>12</v>
      </c>
    </row>
    <row r="123" spans="1:9">
      <c r="A123" s="2">
        <v>8086</v>
      </c>
      <c r="B123" s="2" t="s">
        <v>648</v>
      </c>
      <c r="C123" s="2" t="s">
        <v>268</v>
      </c>
      <c r="D123" s="2" t="s">
        <v>368</v>
      </c>
      <c r="E123" s="2" t="s">
        <v>649</v>
      </c>
      <c r="F123" s="2" t="s">
        <v>650</v>
      </c>
      <c r="G123" s="2" t="b">
        <v>0</v>
      </c>
      <c r="H123" s="2" t="b">
        <v>1</v>
      </c>
      <c r="I123" s="2" t="s">
        <v>12</v>
      </c>
    </row>
    <row r="124" spans="1:9">
      <c r="A124" s="1">
        <v>6217</v>
      </c>
      <c r="B124" s="1" t="s">
        <v>651</v>
      </c>
      <c r="C124" s="1" t="s">
        <v>268</v>
      </c>
      <c r="D124" s="1" t="s">
        <v>285</v>
      </c>
      <c r="E124" s="1" t="s">
        <v>652</v>
      </c>
      <c r="F124" s="1" t="s">
        <v>653</v>
      </c>
      <c r="G124" s="1" t="b">
        <v>1</v>
      </c>
      <c r="H124" s="1" t="b">
        <v>1</v>
      </c>
      <c r="I124" s="1" t="s">
        <v>10</v>
      </c>
    </row>
    <row r="125" spans="1:9">
      <c r="A125" s="2">
        <v>5427</v>
      </c>
      <c r="B125" s="2" t="s">
        <v>654</v>
      </c>
      <c r="C125" s="2" t="s">
        <v>268</v>
      </c>
      <c r="D125" s="2" t="s">
        <v>314</v>
      </c>
      <c r="E125" s="2" t="s">
        <v>655</v>
      </c>
      <c r="F125" s="2" t="s">
        <v>656</v>
      </c>
      <c r="G125" s="2" t="b">
        <v>0</v>
      </c>
      <c r="H125" s="2" t="b">
        <v>1</v>
      </c>
      <c r="I125" s="2" t="s">
        <v>20</v>
      </c>
    </row>
    <row r="126" spans="1:9">
      <c r="A126" s="1">
        <v>7996</v>
      </c>
      <c r="B126" s="1" t="s">
        <v>657</v>
      </c>
      <c r="C126" s="1" t="s">
        <v>273</v>
      </c>
      <c r="D126" s="1" t="s">
        <v>303</v>
      </c>
      <c r="E126" s="1" t="s">
        <v>658</v>
      </c>
      <c r="F126" s="1" t="s">
        <v>659</v>
      </c>
      <c r="G126" s="1" t="b">
        <v>0</v>
      </c>
      <c r="H126" s="1" t="b">
        <v>0</v>
      </c>
      <c r="I126" s="1" t="s">
        <v>660</v>
      </c>
    </row>
    <row r="127" spans="1:9">
      <c r="A127" s="2">
        <v>7078</v>
      </c>
      <c r="B127" s="2" t="s">
        <v>661</v>
      </c>
      <c r="C127" s="2" t="s">
        <v>273</v>
      </c>
      <c r="D127" s="2" t="s">
        <v>292</v>
      </c>
      <c r="E127" s="2" t="s">
        <v>662</v>
      </c>
      <c r="F127" s="2" t="s">
        <v>663</v>
      </c>
      <c r="G127" s="2" t="b">
        <v>0</v>
      </c>
      <c r="H127" s="2" t="b">
        <v>1</v>
      </c>
      <c r="I127" s="2" t="s">
        <v>20</v>
      </c>
    </row>
    <row r="128" spans="1:9">
      <c r="A128" s="1">
        <v>2073</v>
      </c>
      <c r="B128" s="1" t="s">
        <v>664</v>
      </c>
      <c r="C128" s="1" t="s">
        <v>268</v>
      </c>
      <c r="D128" s="1" t="s">
        <v>62</v>
      </c>
      <c r="E128" s="1" t="s">
        <v>62</v>
      </c>
      <c r="F128" s="1" t="s">
        <v>665</v>
      </c>
      <c r="G128" s="1"/>
      <c r="H128" s="1" t="b">
        <v>0</v>
      </c>
      <c r="I128" s="1" t="s">
        <v>10</v>
      </c>
    </row>
    <row r="129" spans="1:9">
      <c r="A129" s="2">
        <v>4484</v>
      </c>
      <c r="B129" s="2" t="s">
        <v>666</v>
      </c>
      <c r="C129" s="2" t="s">
        <v>268</v>
      </c>
      <c r="D129" s="2" t="s">
        <v>274</v>
      </c>
      <c r="E129" s="2" t="s">
        <v>667</v>
      </c>
      <c r="F129" s="2" t="s">
        <v>366</v>
      </c>
      <c r="G129" s="2" t="b">
        <v>1</v>
      </c>
      <c r="H129" s="2" t="b">
        <v>1</v>
      </c>
      <c r="I129" s="2" t="s">
        <v>18</v>
      </c>
    </row>
    <row r="130" spans="1:9">
      <c r="A130" s="1">
        <v>2972</v>
      </c>
      <c r="B130" s="1" t="s">
        <v>668</v>
      </c>
      <c r="C130" s="1" t="s">
        <v>268</v>
      </c>
      <c r="D130" s="1" t="s">
        <v>274</v>
      </c>
      <c r="E130" s="1" t="s">
        <v>669</v>
      </c>
      <c r="F130" s="1" t="s">
        <v>670</v>
      </c>
      <c r="G130" s="1" t="b">
        <v>0</v>
      </c>
      <c r="H130" s="1" t="b">
        <v>1</v>
      </c>
      <c r="I130" s="1" t="s">
        <v>20</v>
      </c>
    </row>
    <row r="131" spans="1:9">
      <c r="A131" s="2">
        <v>8768</v>
      </c>
      <c r="B131" s="2" t="s">
        <v>671</v>
      </c>
      <c r="C131" s="2" t="s">
        <v>268</v>
      </c>
      <c r="D131" s="2" t="s">
        <v>310</v>
      </c>
      <c r="E131" s="2" t="s">
        <v>672</v>
      </c>
      <c r="F131" s="2" t="s">
        <v>673</v>
      </c>
      <c r="G131" s="2" t="b">
        <v>1</v>
      </c>
      <c r="H131" s="2" t="b">
        <v>0</v>
      </c>
      <c r="I131" s="2" t="s">
        <v>18</v>
      </c>
    </row>
    <row r="132" spans="1:9">
      <c r="A132" s="1">
        <v>7631</v>
      </c>
      <c r="B132" s="1" t="s">
        <v>674</v>
      </c>
      <c r="C132" s="1" t="s">
        <v>273</v>
      </c>
      <c r="D132" s="1" t="s">
        <v>269</v>
      </c>
      <c r="E132" s="1" t="s">
        <v>675</v>
      </c>
      <c r="F132" s="1" t="s">
        <v>676</v>
      </c>
      <c r="G132" s="1" t="b">
        <v>0</v>
      </c>
      <c r="H132" s="1" t="b">
        <v>1</v>
      </c>
      <c r="I132" s="1" t="s">
        <v>27</v>
      </c>
    </row>
    <row r="133" spans="1:9">
      <c r="A133" s="2">
        <v>6136</v>
      </c>
      <c r="B133" s="2" t="s">
        <v>677</v>
      </c>
      <c r="C133" s="2" t="s">
        <v>268</v>
      </c>
      <c r="D133" s="2" t="s">
        <v>285</v>
      </c>
      <c r="E133" s="2" t="s">
        <v>678</v>
      </c>
      <c r="F133" s="2" t="s">
        <v>679</v>
      </c>
      <c r="G133" s="2" t="b">
        <v>1</v>
      </c>
      <c r="H133" s="2" t="b">
        <v>1</v>
      </c>
      <c r="I133" s="2" t="s">
        <v>10</v>
      </c>
    </row>
    <row r="134" spans="1:9">
      <c r="A134" s="1">
        <v>7540</v>
      </c>
      <c r="B134" s="1" t="s">
        <v>680</v>
      </c>
      <c r="C134" s="1" t="s">
        <v>273</v>
      </c>
      <c r="D134" s="1" t="s">
        <v>269</v>
      </c>
      <c r="E134" s="1" t="s">
        <v>681</v>
      </c>
      <c r="F134" s="1" t="s">
        <v>682</v>
      </c>
      <c r="G134" s="1" t="b">
        <v>1</v>
      </c>
      <c r="H134" s="1" t="b">
        <v>0</v>
      </c>
      <c r="I134" s="1" t="s">
        <v>12</v>
      </c>
    </row>
    <row r="135" spans="1:9">
      <c r="A135" s="2">
        <v>7540</v>
      </c>
      <c r="B135" s="2" t="s">
        <v>683</v>
      </c>
      <c r="C135" s="2" t="s">
        <v>273</v>
      </c>
      <c r="D135" s="2" t="s">
        <v>269</v>
      </c>
      <c r="E135" s="2" t="s">
        <v>681</v>
      </c>
      <c r="F135" s="2" t="s">
        <v>682</v>
      </c>
      <c r="G135" s="2" t="b">
        <v>1</v>
      </c>
      <c r="H135" s="2" t="b">
        <v>0</v>
      </c>
      <c r="I135" s="2" t="s">
        <v>22</v>
      </c>
    </row>
    <row r="136" spans="1:9">
      <c r="A136" s="1">
        <v>3428</v>
      </c>
      <c r="B136" s="1" t="s">
        <v>684</v>
      </c>
      <c r="C136" s="1" t="s">
        <v>273</v>
      </c>
      <c r="D136" s="1" t="s">
        <v>285</v>
      </c>
      <c r="E136" s="1" t="s">
        <v>685</v>
      </c>
      <c r="F136" s="1" t="s">
        <v>686</v>
      </c>
      <c r="G136" s="1" t="b">
        <v>0</v>
      </c>
      <c r="H136" s="1" t="b">
        <v>1</v>
      </c>
      <c r="I136" s="1" t="s">
        <v>20</v>
      </c>
    </row>
    <row r="137" spans="1:9">
      <c r="A137" s="2">
        <v>5999</v>
      </c>
      <c r="B137" s="2" t="s">
        <v>687</v>
      </c>
      <c r="C137" s="2" t="s">
        <v>273</v>
      </c>
      <c r="D137" s="2" t="s">
        <v>299</v>
      </c>
      <c r="E137" s="2" t="s">
        <v>688</v>
      </c>
      <c r="F137" s="2" t="s">
        <v>689</v>
      </c>
      <c r="G137" s="2" t="b">
        <v>0</v>
      </c>
      <c r="H137" s="2" t="b">
        <v>1</v>
      </c>
      <c r="I137" s="2" t="s">
        <v>24</v>
      </c>
    </row>
    <row r="138" spans="1:9">
      <c r="A138" s="1">
        <v>1552</v>
      </c>
      <c r="B138" s="1" t="s">
        <v>690</v>
      </c>
      <c r="C138" s="1" t="s">
        <v>268</v>
      </c>
      <c r="D138" s="1" t="s">
        <v>292</v>
      </c>
      <c r="E138" s="1" t="s">
        <v>691</v>
      </c>
      <c r="F138" s="1" t="s">
        <v>692</v>
      </c>
      <c r="G138" s="1" t="b">
        <v>1</v>
      </c>
      <c r="H138" s="1" t="b">
        <v>1</v>
      </c>
      <c r="I138" s="1" t="s">
        <v>22</v>
      </c>
    </row>
    <row r="139" spans="1:9">
      <c r="A139" s="2">
        <v>2918</v>
      </c>
      <c r="B139" s="2" t="s">
        <v>693</v>
      </c>
      <c r="C139" s="2" t="s">
        <v>268</v>
      </c>
      <c r="D139" s="2" t="s">
        <v>310</v>
      </c>
      <c r="E139" s="2" t="s">
        <v>694</v>
      </c>
      <c r="F139" s="2" t="s">
        <v>695</v>
      </c>
      <c r="G139" s="2" t="b">
        <v>1</v>
      </c>
      <c r="H139" s="2" t="b">
        <v>0</v>
      </c>
      <c r="I139" s="2" t="s">
        <v>27</v>
      </c>
    </row>
    <row r="140" spans="1:9">
      <c r="A140" s="1">
        <v>3034</v>
      </c>
      <c r="B140" s="1" t="s">
        <v>696</v>
      </c>
      <c r="C140" s="1" t="s">
        <v>268</v>
      </c>
      <c r="D140" s="1" t="s">
        <v>292</v>
      </c>
      <c r="E140" s="1" t="s">
        <v>697</v>
      </c>
      <c r="F140" s="1" t="s">
        <v>698</v>
      </c>
      <c r="G140" s="1" t="b">
        <v>0</v>
      </c>
      <c r="H140" s="1" t="b">
        <v>1</v>
      </c>
      <c r="I140" s="1" t="s">
        <v>18</v>
      </c>
    </row>
    <row r="141" spans="1:9">
      <c r="A141" s="2">
        <v>7797</v>
      </c>
      <c r="B141" s="2" t="s">
        <v>699</v>
      </c>
      <c r="C141" s="2" t="s">
        <v>268</v>
      </c>
      <c r="D141" s="2" t="s">
        <v>274</v>
      </c>
      <c r="E141" s="2" t="s">
        <v>700</v>
      </c>
      <c r="F141" s="2" t="s">
        <v>701</v>
      </c>
      <c r="G141" s="2" t="b">
        <v>1</v>
      </c>
      <c r="H141" s="2" t="b">
        <v>1</v>
      </c>
      <c r="I141" s="2" t="s">
        <v>22</v>
      </c>
    </row>
    <row r="142" spans="1:9">
      <c r="A142" s="1">
        <v>5400</v>
      </c>
      <c r="B142" s="1" t="s">
        <v>702</v>
      </c>
      <c r="C142" s="1" t="s">
        <v>273</v>
      </c>
      <c r="D142" s="1" t="s">
        <v>314</v>
      </c>
      <c r="E142" s="1" t="s">
        <v>703</v>
      </c>
      <c r="F142" s="1" t="s">
        <v>704</v>
      </c>
      <c r="G142" s="1" t="b">
        <v>1</v>
      </c>
      <c r="H142" s="1" t="b">
        <v>1</v>
      </c>
      <c r="I142" s="1" t="s">
        <v>22</v>
      </c>
    </row>
    <row r="143" spans="1:9">
      <c r="A143" s="2">
        <v>7819</v>
      </c>
      <c r="B143" s="2" t="s">
        <v>705</v>
      </c>
      <c r="C143" s="2" t="s">
        <v>273</v>
      </c>
      <c r="D143" s="2" t="s">
        <v>303</v>
      </c>
      <c r="E143" s="2" t="s">
        <v>706</v>
      </c>
      <c r="F143" s="2" t="s">
        <v>707</v>
      </c>
      <c r="G143" s="2" t="b">
        <v>0</v>
      </c>
      <c r="H143" s="2" t="b">
        <v>0</v>
      </c>
      <c r="I143" s="2" t="s">
        <v>22</v>
      </c>
    </row>
    <row r="144" spans="1:9">
      <c r="A144" s="1">
        <v>4173</v>
      </c>
      <c r="B144" s="1" t="s">
        <v>708</v>
      </c>
      <c r="C144" s="1" t="s">
        <v>268</v>
      </c>
      <c r="D144" s="1" t="s">
        <v>303</v>
      </c>
      <c r="E144" s="1" t="s">
        <v>709</v>
      </c>
      <c r="F144" s="1" t="s">
        <v>710</v>
      </c>
      <c r="G144" s="1" t="b">
        <v>1</v>
      </c>
      <c r="H144" s="1" t="b">
        <v>1</v>
      </c>
      <c r="I144" s="1" t="s">
        <v>711</v>
      </c>
    </row>
    <row r="145" spans="1:9">
      <c r="A145" s="2">
        <v>4084</v>
      </c>
      <c r="B145" s="2" t="s">
        <v>712</v>
      </c>
      <c r="C145" s="2" t="s">
        <v>273</v>
      </c>
      <c r="D145" s="2" t="s">
        <v>303</v>
      </c>
      <c r="E145" s="2" t="s">
        <v>713</v>
      </c>
      <c r="F145" s="2" t="s">
        <v>714</v>
      </c>
      <c r="G145" s="2" t="b">
        <v>0</v>
      </c>
      <c r="H145" s="2" t="b">
        <v>0</v>
      </c>
      <c r="I145" s="2" t="s">
        <v>24</v>
      </c>
    </row>
    <row r="146" spans="1:9">
      <c r="A146" s="1">
        <v>3010</v>
      </c>
      <c r="B146" s="1" t="s">
        <v>715</v>
      </c>
      <c r="C146" s="1" t="s">
        <v>273</v>
      </c>
      <c r="D146" s="1" t="s">
        <v>314</v>
      </c>
      <c r="E146" s="1" t="s">
        <v>716</v>
      </c>
      <c r="F146" s="1" t="s">
        <v>717</v>
      </c>
      <c r="G146" s="1" t="b">
        <v>0</v>
      </c>
      <c r="H146" s="1" t="b">
        <v>1</v>
      </c>
      <c r="I146" s="1" t="s">
        <v>62</v>
      </c>
    </row>
    <row r="147" spans="1:9">
      <c r="A147" s="2">
        <v>6450</v>
      </c>
      <c r="B147" s="2" t="s">
        <v>718</v>
      </c>
      <c r="C147" s="2" t="s">
        <v>268</v>
      </c>
      <c r="D147" s="2" t="s">
        <v>303</v>
      </c>
      <c r="E147" s="2" t="s">
        <v>719</v>
      </c>
      <c r="F147" s="2" t="s">
        <v>720</v>
      </c>
      <c r="G147" s="2" t="b">
        <v>0</v>
      </c>
      <c r="H147" s="2" t="b">
        <v>0</v>
      </c>
      <c r="I147" s="2" t="s">
        <v>10</v>
      </c>
    </row>
    <row r="148" spans="1:9">
      <c r="A148" s="1">
        <v>6450</v>
      </c>
      <c r="B148" s="1" t="s">
        <v>721</v>
      </c>
      <c r="C148" s="1" t="s">
        <v>268</v>
      </c>
      <c r="D148" s="1" t="s">
        <v>303</v>
      </c>
      <c r="E148" s="1" t="s">
        <v>719</v>
      </c>
      <c r="F148" s="1" t="s">
        <v>720</v>
      </c>
      <c r="G148" s="1" t="b">
        <v>0</v>
      </c>
      <c r="H148" s="1" t="b">
        <v>0</v>
      </c>
      <c r="I148" s="1" t="s">
        <v>18</v>
      </c>
    </row>
    <row r="149" spans="1:9">
      <c r="A149" s="2">
        <v>2494</v>
      </c>
      <c r="B149" s="2" t="s">
        <v>722</v>
      </c>
      <c r="C149" s="2" t="s">
        <v>273</v>
      </c>
      <c r="D149" s="2" t="s">
        <v>368</v>
      </c>
      <c r="E149" s="2" t="s">
        <v>723</v>
      </c>
      <c r="F149" s="2" t="s">
        <v>724</v>
      </c>
      <c r="G149" s="2" t="b">
        <v>1</v>
      </c>
      <c r="H149" s="2" t="b">
        <v>1</v>
      </c>
      <c r="I149" s="2" t="s">
        <v>22</v>
      </c>
    </row>
    <row r="150" spans="1:9">
      <c r="A150" s="1">
        <v>1058</v>
      </c>
      <c r="B150" s="1" t="s">
        <v>725</v>
      </c>
      <c r="C150" s="1" t="s">
        <v>273</v>
      </c>
      <c r="D150" s="1" t="s">
        <v>292</v>
      </c>
      <c r="E150" s="1" t="s">
        <v>726</v>
      </c>
      <c r="F150" s="1" t="s">
        <v>727</v>
      </c>
      <c r="G150" s="1" t="b">
        <v>0</v>
      </c>
      <c r="H150" s="1" t="b">
        <v>0</v>
      </c>
      <c r="I150" s="1" t="s">
        <v>728</v>
      </c>
    </row>
    <row r="151" spans="1:9">
      <c r="A151" s="2">
        <v>1058</v>
      </c>
      <c r="B151" s="2" t="s">
        <v>729</v>
      </c>
      <c r="C151" s="2" t="s">
        <v>273</v>
      </c>
      <c r="D151" s="2" t="s">
        <v>292</v>
      </c>
      <c r="E151" s="2" t="s">
        <v>726</v>
      </c>
      <c r="F151" s="2" t="s">
        <v>727</v>
      </c>
      <c r="G151" s="2" t="b">
        <v>0</v>
      </c>
      <c r="H151" s="2" t="b">
        <v>0</v>
      </c>
      <c r="I151" s="2" t="s">
        <v>22</v>
      </c>
    </row>
    <row r="152" spans="1:9">
      <c r="A152" s="1">
        <v>5356</v>
      </c>
      <c r="B152" s="1" t="s">
        <v>730</v>
      </c>
      <c r="C152" s="1" t="s">
        <v>268</v>
      </c>
      <c r="D152" s="1" t="s">
        <v>310</v>
      </c>
      <c r="E152" s="1" t="s">
        <v>731</v>
      </c>
      <c r="F152" s="1" t="s">
        <v>732</v>
      </c>
      <c r="G152" s="1" t="b">
        <v>1</v>
      </c>
      <c r="H152" s="1" t="b">
        <v>1</v>
      </c>
      <c r="I152" s="1" t="s">
        <v>733</v>
      </c>
    </row>
    <row r="153" spans="1:9">
      <c r="A153" s="2">
        <v>2059</v>
      </c>
      <c r="B153" s="2" t="s">
        <v>734</v>
      </c>
      <c r="C153" s="2" t="s">
        <v>268</v>
      </c>
      <c r="D153" s="2" t="s">
        <v>292</v>
      </c>
      <c r="E153" s="2" t="s">
        <v>735</v>
      </c>
      <c r="F153" s="2" t="s">
        <v>736</v>
      </c>
      <c r="G153" s="2" t="b">
        <v>1</v>
      </c>
      <c r="H153" s="2" t="b">
        <v>0</v>
      </c>
      <c r="I153" s="2" t="s">
        <v>15</v>
      </c>
    </row>
    <row r="154" spans="1:9">
      <c r="A154" s="1">
        <v>7715</v>
      </c>
      <c r="B154" s="1" t="s">
        <v>737</v>
      </c>
      <c r="C154" s="1" t="s">
        <v>268</v>
      </c>
      <c r="D154" s="1" t="s">
        <v>303</v>
      </c>
      <c r="E154" s="1" t="s">
        <v>738</v>
      </c>
      <c r="F154" s="1" t="s">
        <v>739</v>
      </c>
      <c r="G154" s="1" t="b">
        <v>1</v>
      </c>
      <c r="H154" s="1" t="b">
        <v>0</v>
      </c>
      <c r="I154" s="1" t="s">
        <v>10</v>
      </c>
    </row>
    <row r="155" spans="1:9">
      <c r="A155" s="2">
        <v>9830</v>
      </c>
      <c r="B155" s="2" t="s">
        <v>740</v>
      </c>
      <c r="C155" s="2" t="s">
        <v>273</v>
      </c>
      <c r="D155" s="2" t="s">
        <v>269</v>
      </c>
      <c r="E155" s="2" t="s">
        <v>741</v>
      </c>
      <c r="F155" s="2" t="s">
        <v>742</v>
      </c>
      <c r="G155" s="2" t="b">
        <v>0</v>
      </c>
      <c r="H155" s="2" t="b">
        <v>0</v>
      </c>
      <c r="I155" s="2" t="s">
        <v>15</v>
      </c>
    </row>
    <row r="156" spans="1:9">
      <c r="A156" s="1">
        <v>7098</v>
      </c>
      <c r="B156" s="1" t="s">
        <v>743</v>
      </c>
      <c r="C156" s="1" t="s">
        <v>273</v>
      </c>
      <c r="D156" s="1" t="s">
        <v>285</v>
      </c>
      <c r="E156" s="1" t="s">
        <v>744</v>
      </c>
      <c r="F156" s="1" t="s">
        <v>745</v>
      </c>
      <c r="G156" s="1" t="b">
        <v>0</v>
      </c>
      <c r="H156" s="1" t="b">
        <v>0</v>
      </c>
      <c r="I156" s="1" t="s">
        <v>12</v>
      </c>
    </row>
    <row r="157" spans="1:9">
      <c r="A157" s="2">
        <v>3456</v>
      </c>
      <c r="B157" s="2" t="s">
        <v>746</v>
      </c>
      <c r="C157" s="2" t="s">
        <v>268</v>
      </c>
      <c r="D157" s="2" t="s">
        <v>526</v>
      </c>
      <c r="E157" s="2" t="s">
        <v>747</v>
      </c>
      <c r="F157" s="2" t="s">
        <v>748</v>
      </c>
      <c r="G157" s="2" t="b">
        <v>0</v>
      </c>
      <c r="H157" s="2" t="b">
        <v>1</v>
      </c>
      <c r="I157" s="2" t="s">
        <v>18</v>
      </c>
    </row>
    <row r="158" spans="1:9">
      <c r="A158" s="1">
        <v>6846</v>
      </c>
      <c r="B158" s="1" t="s">
        <v>749</v>
      </c>
      <c r="C158" s="1" t="s">
        <v>268</v>
      </c>
      <c r="D158" s="1" t="s">
        <v>274</v>
      </c>
      <c r="E158" s="1" t="s">
        <v>750</v>
      </c>
      <c r="F158" s="1" t="s">
        <v>751</v>
      </c>
      <c r="G158" s="1" t="b">
        <v>1</v>
      </c>
      <c r="H158" s="1" t="b">
        <v>1</v>
      </c>
      <c r="I158" s="1" t="s">
        <v>27</v>
      </c>
    </row>
    <row r="159" spans="1:9">
      <c r="A159" s="2">
        <v>7383</v>
      </c>
      <c r="B159" s="2" t="s">
        <v>752</v>
      </c>
      <c r="C159" s="2" t="s">
        <v>273</v>
      </c>
      <c r="D159" s="2" t="s">
        <v>274</v>
      </c>
      <c r="E159" s="2" t="s">
        <v>753</v>
      </c>
      <c r="F159" s="2" t="s">
        <v>754</v>
      </c>
      <c r="G159" s="2" t="b">
        <v>0</v>
      </c>
      <c r="H159" s="2" t="b">
        <v>1</v>
      </c>
      <c r="I159" s="2" t="s">
        <v>24</v>
      </c>
    </row>
    <row r="160" spans="1:9">
      <c r="A160" s="1">
        <v>2651</v>
      </c>
      <c r="B160" s="1" t="s">
        <v>755</v>
      </c>
      <c r="C160" s="1" t="s">
        <v>273</v>
      </c>
      <c r="D160" s="1" t="s">
        <v>356</v>
      </c>
      <c r="E160" s="1" t="s">
        <v>756</v>
      </c>
      <c r="F160" s="1" t="s">
        <v>757</v>
      </c>
      <c r="G160" s="1" t="b">
        <v>1</v>
      </c>
      <c r="H160" s="1" t="b">
        <v>1</v>
      </c>
      <c r="I160" s="1" t="s">
        <v>12</v>
      </c>
    </row>
    <row r="161" spans="1:9">
      <c r="A161" s="2">
        <v>4521</v>
      </c>
      <c r="B161" s="2" t="s">
        <v>758</v>
      </c>
      <c r="C161" s="2" t="s">
        <v>268</v>
      </c>
      <c r="D161" s="2" t="s">
        <v>269</v>
      </c>
      <c r="E161" s="2" t="s">
        <v>759</v>
      </c>
      <c r="F161" s="2" t="s">
        <v>760</v>
      </c>
      <c r="G161" s="2" t="b">
        <v>0</v>
      </c>
      <c r="H161" s="2" t="b">
        <v>0</v>
      </c>
      <c r="I161" s="2" t="s">
        <v>22</v>
      </c>
    </row>
    <row r="162" spans="1:9">
      <c r="A162" s="1">
        <v>3097</v>
      </c>
      <c r="B162" s="1" t="s">
        <v>761</v>
      </c>
      <c r="C162" s="1" t="s">
        <v>273</v>
      </c>
      <c r="D162" s="1" t="s">
        <v>526</v>
      </c>
      <c r="E162" s="1" t="s">
        <v>762</v>
      </c>
      <c r="F162" s="1" t="s">
        <v>763</v>
      </c>
      <c r="G162" s="1" t="b">
        <v>0</v>
      </c>
      <c r="H162" s="1" t="b">
        <v>1</v>
      </c>
      <c r="I162" s="1" t="s">
        <v>18</v>
      </c>
    </row>
    <row r="163" spans="1:9">
      <c r="A163" s="2">
        <v>8254</v>
      </c>
      <c r="B163" s="2" t="s">
        <v>764</v>
      </c>
      <c r="C163" s="2" t="s">
        <v>268</v>
      </c>
      <c r="D163" s="2" t="s">
        <v>303</v>
      </c>
      <c r="E163" s="2" t="s">
        <v>765</v>
      </c>
      <c r="F163" s="2" t="s">
        <v>766</v>
      </c>
      <c r="G163" s="2" t="b">
        <v>1</v>
      </c>
      <c r="H163" s="2" t="b">
        <v>0</v>
      </c>
      <c r="I163" s="2" t="s">
        <v>24</v>
      </c>
    </row>
    <row r="164" spans="1:9">
      <c r="A164" s="1">
        <v>4212</v>
      </c>
      <c r="B164" s="1" t="s">
        <v>767</v>
      </c>
      <c r="C164" s="1" t="s">
        <v>273</v>
      </c>
      <c r="D164" s="1" t="s">
        <v>310</v>
      </c>
      <c r="E164" s="1" t="s">
        <v>768</v>
      </c>
      <c r="F164" s="1" t="s">
        <v>769</v>
      </c>
      <c r="G164" s="1" t="b">
        <v>0</v>
      </c>
      <c r="H164" s="1" t="b">
        <v>0</v>
      </c>
      <c r="I164" s="1" t="s">
        <v>18</v>
      </c>
    </row>
    <row r="165" spans="1:9">
      <c r="A165" s="2">
        <v>4212</v>
      </c>
      <c r="B165" s="2" t="s">
        <v>770</v>
      </c>
      <c r="C165" s="2" t="s">
        <v>273</v>
      </c>
      <c r="D165" s="2" t="s">
        <v>310</v>
      </c>
      <c r="E165" s="2" t="s">
        <v>768</v>
      </c>
      <c r="F165" s="2" t="s">
        <v>769</v>
      </c>
      <c r="G165" s="2" t="b">
        <v>0</v>
      </c>
      <c r="H165" s="2" t="b">
        <v>0</v>
      </c>
      <c r="I165" s="2" t="s">
        <v>12</v>
      </c>
    </row>
    <row r="166" spans="1:9">
      <c r="A166" s="1">
        <v>2759</v>
      </c>
      <c r="B166" s="1" t="s">
        <v>771</v>
      </c>
      <c r="C166" s="1" t="s">
        <v>268</v>
      </c>
      <c r="D166" s="1" t="s">
        <v>292</v>
      </c>
      <c r="E166" s="1" t="s">
        <v>772</v>
      </c>
      <c r="F166" s="1" t="s">
        <v>773</v>
      </c>
      <c r="G166" s="1" t="b">
        <v>1</v>
      </c>
      <c r="H166" s="1" t="b">
        <v>0</v>
      </c>
      <c r="I166" s="1" t="s">
        <v>10</v>
      </c>
    </row>
    <row r="167" spans="1:9">
      <c r="A167" s="2">
        <v>4640</v>
      </c>
      <c r="B167" s="2" t="s">
        <v>774</v>
      </c>
      <c r="C167" s="2" t="s">
        <v>273</v>
      </c>
      <c r="D167" s="2" t="s">
        <v>292</v>
      </c>
      <c r="E167" s="2" t="s">
        <v>775</v>
      </c>
      <c r="F167" s="2" t="s">
        <v>776</v>
      </c>
      <c r="G167" s="2" t="b">
        <v>0</v>
      </c>
      <c r="H167" s="2" t="b">
        <v>0</v>
      </c>
      <c r="I167" s="2" t="s">
        <v>18</v>
      </c>
    </row>
    <row r="168" spans="1:9">
      <c r="A168" s="1">
        <v>4933</v>
      </c>
      <c r="B168" s="1" t="s">
        <v>777</v>
      </c>
      <c r="C168" s="1" t="s">
        <v>268</v>
      </c>
      <c r="D168" s="1" t="s">
        <v>310</v>
      </c>
      <c r="E168" s="1" t="s">
        <v>778</v>
      </c>
      <c r="F168" s="1" t="s">
        <v>779</v>
      </c>
      <c r="G168" s="1" t="b">
        <v>1</v>
      </c>
      <c r="H168" s="1" t="b">
        <v>1</v>
      </c>
      <c r="I168" s="1" t="s">
        <v>10</v>
      </c>
    </row>
    <row r="169" spans="1:9">
      <c r="A169" s="2">
        <v>1008</v>
      </c>
      <c r="B169" s="2" t="s">
        <v>780</v>
      </c>
      <c r="C169" s="2" t="s">
        <v>268</v>
      </c>
      <c r="D169" s="2" t="s">
        <v>303</v>
      </c>
      <c r="E169" s="2" t="s">
        <v>781</v>
      </c>
      <c r="F169" s="2" t="s">
        <v>782</v>
      </c>
      <c r="G169" s="2" t="b">
        <v>0</v>
      </c>
      <c r="H169" s="2" t="b">
        <v>0</v>
      </c>
      <c r="I169" s="2" t="s">
        <v>783</v>
      </c>
    </row>
    <row r="170" spans="1:9">
      <c r="A170" s="1">
        <v>2189</v>
      </c>
      <c r="B170" s="1" t="s">
        <v>784</v>
      </c>
      <c r="C170" s="1" t="s">
        <v>273</v>
      </c>
      <c r="D170" s="1" t="s">
        <v>314</v>
      </c>
      <c r="E170" s="1" t="s">
        <v>785</v>
      </c>
      <c r="F170" s="1" t="s">
        <v>786</v>
      </c>
      <c r="G170" s="1" t="b">
        <v>1</v>
      </c>
      <c r="H170" s="1" t="b">
        <v>1</v>
      </c>
      <c r="I170" s="1" t="s">
        <v>10</v>
      </c>
    </row>
    <row r="171" spans="1:9">
      <c r="A171" s="2">
        <v>1567</v>
      </c>
      <c r="B171" s="2" t="s">
        <v>787</v>
      </c>
      <c r="C171" s="2" t="s">
        <v>268</v>
      </c>
      <c r="D171" s="2" t="s">
        <v>310</v>
      </c>
      <c r="E171" s="2" t="s">
        <v>788</v>
      </c>
      <c r="F171" s="2" t="s">
        <v>789</v>
      </c>
      <c r="G171" s="2" t="b">
        <v>1</v>
      </c>
      <c r="H171" s="2" t="b">
        <v>0</v>
      </c>
      <c r="I171" s="2" t="s">
        <v>15</v>
      </c>
    </row>
    <row r="172" spans="1:9">
      <c r="A172" s="1">
        <v>6077</v>
      </c>
      <c r="B172" s="1" t="s">
        <v>790</v>
      </c>
      <c r="C172" s="1" t="s">
        <v>273</v>
      </c>
      <c r="D172" s="1" t="s">
        <v>314</v>
      </c>
      <c r="E172" s="1" t="s">
        <v>791</v>
      </c>
      <c r="F172" s="1" t="s">
        <v>792</v>
      </c>
      <c r="G172" s="1" t="b">
        <v>1</v>
      </c>
      <c r="H172" s="1" t="b">
        <v>1</v>
      </c>
      <c r="I172" s="1" t="s">
        <v>15</v>
      </c>
    </row>
    <row r="173" spans="1:9">
      <c r="A173" s="2">
        <v>6962</v>
      </c>
      <c r="B173" s="2" t="s">
        <v>793</v>
      </c>
      <c r="C173" s="2" t="s">
        <v>268</v>
      </c>
      <c r="D173" s="2" t="s">
        <v>292</v>
      </c>
      <c r="E173" s="2" t="s">
        <v>794</v>
      </c>
      <c r="F173" s="2" t="s">
        <v>795</v>
      </c>
      <c r="G173" s="2" t="b">
        <v>0</v>
      </c>
      <c r="H173" s="2" t="b">
        <v>0</v>
      </c>
      <c r="I173" s="2" t="s">
        <v>15</v>
      </c>
    </row>
    <row r="174" spans="1:9">
      <c r="A174" s="1">
        <v>9382</v>
      </c>
      <c r="B174" s="1" t="s">
        <v>796</v>
      </c>
      <c r="C174" s="1" t="s">
        <v>268</v>
      </c>
      <c r="D174" s="1" t="s">
        <v>274</v>
      </c>
      <c r="E174" s="1" t="s">
        <v>797</v>
      </c>
      <c r="F174" s="1" t="s">
        <v>798</v>
      </c>
      <c r="G174" s="1" t="b">
        <v>0</v>
      </c>
      <c r="H174" s="1" t="b">
        <v>1</v>
      </c>
      <c r="I174" s="1" t="s">
        <v>27</v>
      </c>
    </row>
    <row r="175" spans="1:9">
      <c r="A175" s="2">
        <v>9600</v>
      </c>
      <c r="B175" s="2" t="s">
        <v>799</v>
      </c>
      <c r="C175" s="2" t="s">
        <v>268</v>
      </c>
      <c r="D175" s="2" t="s">
        <v>269</v>
      </c>
      <c r="E175" s="2" t="s">
        <v>800</v>
      </c>
      <c r="F175" s="2" t="s">
        <v>801</v>
      </c>
      <c r="G175" s="2" t="b">
        <v>1</v>
      </c>
      <c r="H175" s="2" t="b">
        <v>1</v>
      </c>
      <c r="I175" s="2" t="s">
        <v>22</v>
      </c>
    </row>
    <row r="176" spans="1:9">
      <c r="A176" s="1">
        <v>2376</v>
      </c>
      <c r="B176" s="1" t="s">
        <v>802</v>
      </c>
      <c r="C176" s="1" t="s">
        <v>273</v>
      </c>
      <c r="D176" s="1" t="s">
        <v>269</v>
      </c>
      <c r="E176" s="1" t="s">
        <v>803</v>
      </c>
      <c r="F176" s="1" t="s">
        <v>804</v>
      </c>
      <c r="G176" s="1" t="b">
        <v>0</v>
      </c>
      <c r="H176" s="1" t="b">
        <v>1</v>
      </c>
      <c r="I176" s="1" t="s">
        <v>18</v>
      </c>
    </row>
    <row r="177" spans="1:9">
      <c r="A177" s="2">
        <v>2632</v>
      </c>
      <c r="B177" s="2" t="s">
        <v>805</v>
      </c>
      <c r="C177" s="2" t="s">
        <v>268</v>
      </c>
      <c r="D177" s="2" t="s">
        <v>314</v>
      </c>
      <c r="E177" s="2" t="s">
        <v>806</v>
      </c>
      <c r="F177" s="2" t="s">
        <v>807</v>
      </c>
      <c r="G177" s="2" t="b">
        <v>1</v>
      </c>
      <c r="H177" s="2" t="b">
        <v>0</v>
      </c>
      <c r="I177" s="2" t="s">
        <v>20</v>
      </c>
    </row>
    <row r="178" spans="1:9">
      <c r="A178" s="1">
        <v>6133</v>
      </c>
      <c r="B178" s="1" t="s">
        <v>808</v>
      </c>
      <c r="C178" s="1" t="s">
        <v>273</v>
      </c>
      <c r="D178" s="1" t="s">
        <v>303</v>
      </c>
      <c r="E178" s="1" t="s">
        <v>809</v>
      </c>
      <c r="F178" s="1" t="s">
        <v>810</v>
      </c>
      <c r="G178" s="1" t="b">
        <v>0</v>
      </c>
      <c r="H178" s="1" t="b">
        <v>1</v>
      </c>
      <c r="I178" s="1" t="s">
        <v>24</v>
      </c>
    </row>
    <row r="179" spans="1:9">
      <c r="A179" s="2">
        <v>9967</v>
      </c>
      <c r="B179" s="2" t="s">
        <v>811</v>
      </c>
      <c r="C179" s="2" t="s">
        <v>273</v>
      </c>
      <c r="D179" s="2" t="s">
        <v>368</v>
      </c>
      <c r="E179" s="2" t="s">
        <v>812</v>
      </c>
      <c r="F179" s="2" t="s">
        <v>813</v>
      </c>
      <c r="G179" s="2" t="b">
        <v>1</v>
      </c>
      <c r="H179" s="2" t="b">
        <v>1</v>
      </c>
      <c r="I179" s="2" t="s">
        <v>18</v>
      </c>
    </row>
    <row r="180" spans="1:9">
      <c r="A180" s="1">
        <v>9967</v>
      </c>
      <c r="B180" s="1" t="s">
        <v>814</v>
      </c>
      <c r="C180" s="1" t="s">
        <v>273</v>
      </c>
      <c r="D180" s="1" t="s">
        <v>368</v>
      </c>
      <c r="E180" s="1" t="s">
        <v>812</v>
      </c>
      <c r="F180" s="1" t="s">
        <v>813</v>
      </c>
      <c r="G180" s="1" t="b">
        <v>1</v>
      </c>
      <c r="H180" s="1" t="b">
        <v>1</v>
      </c>
      <c r="I180" s="1" t="s">
        <v>20</v>
      </c>
    </row>
    <row r="181" spans="1:9">
      <c r="A181" s="2">
        <v>7359</v>
      </c>
      <c r="B181" s="2" t="s">
        <v>815</v>
      </c>
      <c r="C181" s="2" t="s">
        <v>273</v>
      </c>
      <c r="D181" s="2" t="s">
        <v>274</v>
      </c>
      <c r="E181" s="2" t="s">
        <v>816</v>
      </c>
      <c r="F181" s="2" t="s">
        <v>817</v>
      </c>
      <c r="G181" s="2" t="b">
        <v>1</v>
      </c>
      <c r="H181" s="2" t="b">
        <v>0</v>
      </c>
      <c r="I181" s="2" t="s">
        <v>18</v>
      </c>
    </row>
    <row r="182" spans="1:9">
      <c r="A182" s="1">
        <v>3508</v>
      </c>
      <c r="B182" s="1" t="s">
        <v>818</v>
      </c>
      <c r="C182" s="1" t="s">
        <v>268</v>
      </c>
      <c r="D182" s="1" t="s">
        <v>292</v>
      </c>
      <c r="E182" s="1" t="s">
        <v>819</v>
      </c>
      <c r="F182" s="1" t="s">
        <v>820</v>
      </c>
      <c r="G182" s="1" t="b">
        <v>1</v>
      </c>
      <c r="H182" s="1" t="b">
        <v>0</v>
      </c>
      <c r="I182" s="1" t="s">
        <v>10</v>
      </c>
    </row>
    <row r="183" spans="1:9">
      <c r="A183" s="2">
        <v>2915</v>
      </c>
      <c r="B183" s="2" t="s">
        <v>821</v>
      </c>
      <c r="C183" s="2" t="s">
        <v>273</v>
      </c>
      <c r="D183" s="2" t="s">
        <v>368</v>
      </c>
      <c r="E183" s="2" t="s">
        <v>822</v>
      </c>
      <c r="F183" s="2" t="s">
        <v>823</v>
      </c>
      <c r="G183" s="2" t="b">
        <v>1</v>
      </c>
      <c r="H183" s="2" t="b">
        <v>0</v>
      </c>
      <c r="I183" s="2" t="s">
        <v>22</v>
      </c>
    </row>
    <row r="184" spans="1:9">
      <c r="A184" s="1">
        <v>3515</v>
      </c>
      <c r="B184" s="1" t="s">
        <v>824</v>
      </c>
      <c r="C184" s="1" t="s">
        <v>268</v>
      </c>
      <c r="D184" s="1" t="s">
        <v>368</v>
      </c>
      <c r="E184" s="1" t="s">
        <v>825</v>
      </c>
      <c r="F184" s="1" t="s">
        <v>826</v>
      </c>
      <c r="G184" s="1" t="b">
        <v>0</v>
      </c>
      <c r="H184" s="1" t="b">
        <v>1</v>
      </c>
      <c r="I184" s="1" t="s">
        <v>27</v>
      </c>
    </row>
    <row r="185" spans="1:9">
      <c r="A185" s="2">
        <v>5640</v>
      </c>
      <c r="B185" s="2" t="s">
        <v>827</v>
      </c>
      <c r="C185" s="2" t="s">
        <v>268</v>
      </c>
      <c r="D185" s="2" t="s">
        <v>303</v>
      </c>
      <c r="E185" s="2" t="s">
        <v>828</v>
      </c>
      <c r="F185" s="2" t="s">
        <v>829</v>
      </c>
      <c r="G185" s="2" t="b">
        <v>1</v>
      </c>
      <c r="H185" s="2" t="b">
        <v>0</v>
      </c>
      <c r="I185" s="2" t="s">
        <v>830</v>
      </c>
    </row>
    <row r="186" spans="1:9">
      <c r="A186" s="1">
        <v>4329</v>
      </c>
      <c r="B186" s="1" t="s">
        <v>831</v>
      </c>
      <c r="C186" s="1" t="s">
        <v>273</v>
      </c>
      <c r="D186" s="1" t="s">
        <v>292</v>
      </c>
      <c r="E186" s="1" t="s">
        <v>832</v>
      </c>
      <c r="F186" s="1" t="s">
        <v>833</v>
      </c>
      <c r="G186" s="1" t="b">
        <v>1</v>
      </c>
      <c r="H186" s="1" t="b">
        <v>1</v>
      </c>
      <c r="I186" s="1" t="s">
        <v>577</v>
      </c>
    </row>
    <row r="187" spans="1:9">
      <c r="A187" s="2">
        <v>4329</v>
      </c>
      <c r="B187" s="2" t="s">
        <v>834</v>
      </c>
      <c r="C187" s="2" t="s">
        <v>273</v>
      </c>
      <c r="D187" s="2" t="s">
        <v>292</v>
      </c>
      <c r="E187" s="2" t="s">
        <v>832</v>
      </c>
      <c r="F187" s="2" t="s">
        <v>833</v>
      </c>
      <c r="G187" s="2" t="b">
        <v>1</v>
      </c>
      <c r="H187" s="2" t="b">
        <v>1</v>
      </c>
      <c r="I187" s="2" t="s">
        <v>10</v>
      </c>
    </row>
    <row r="188" spans="1:9">
      <c r="A188" s="1">
        <v>1578</v>
      </c>
      <c r="B188" s="1" t="s">
        <v>835</v>
      </c>
      <c r="C188" s="1" t="s">
        <v>273</v>
      </c>
      <c r="D188" s="1" t="s">
        <v>292</v>
      </c>
      <c r="E188" s="1" t="s">
        <v>836</v>
      </c>
      <c r="F188" s="1" t="s">
        <v>837</v>
      </c>
      <c r="G188" s="1" t="b">
        <v>1</v>
      </c>
      <c r="H188" s="1" t="b">
        <v>0</v>
      </c>
      <c r="I188" s="1" t="s">
        <v>18</v>
      </c>
    </row>
    <row r="189" spans="1:9">
      <c r="A189" s="2">
        <v>5626</v>
      </c>
      <c r="B189" s="2" t="s">
        <v>838</v>
      </c>
      <c r="C189" s="2" t="s">
        <v>273</v>
      </c>
      <c r="D189" s="2" t="s">
        <v>368</v>
      </c>
      <c r="E189" s="2" t="s">
        <v>839</v>
      </c>
      <c r="F189" s="2" t="s">
        <v>840</v>
      </c>
      <c r="G189" s="2" t="b">
        <v>1</v>
      </c>
      <c r="H189" s="2" t="b">
        <v>0</v>
      </c>
      <c r="I189" s="2" t="s">
        <v>10</v>
      </c>
    </row>
    <row r="190" spans="1:9">
      <c r="A190" s="1">
        <v>2402</v>
      </c>
      <c r="B190" s="1" t="s">
        <v>841</v>
      </c>
      <c r="C190" s="1" t="s">
        <v>273</v>
      </c>
      <c r="D190" s="1" t="s">
        <v>303</v>
      </c>
      <c r="E190" s="1" t="s">
        <v>842</v>
      </c>
      <c r="F190" s="1" t="s">
        <v>843</v>
      </c>
      <c r="G190" s="1" t="b">
        <v>1</v>
      </c>
      <c r="H190" s="1" t="b">
        <v>0</v>
      </c>
      <c r="I190" s="1" t="s">
        <v>18</v>
      </c>
    </row>
    <row r="191" spans="1:9">
      <c r="A191" s="2">
        <v>4963</v>
      </c>
      <c r="B191" s="2" t="s">
        <v>844</v>
      </c>
      <c r="C191" s="2" t="s">
        <v>268</v>
      </c>
      <c r="D191" s="2" t="s">
        <v>292</v>
      </c>
      <c r="E191" s="2" t="s">
        <v>845</v>
      </c>
      <c r="F191" s="2" t="s">
        <v>846</v>
      </c>
      <c r="G191" s="2" t="b">
        <v>0</v>
      </c>
      <c r="H191" s="2" t="b">
        <v>1</v>
      </c>
      <c r="I191" s="2" t="s">
        <v>22</v>
      </c>
    </row>
    <row r="192" spans="1:9">
      <c r="A192" s="1">
        <v>4213</v>
      </c>
      <c r="B192" s="1" t="s">
        <v>847</v>
      </c>
      <c r="C192" s="1" t="s">
        <v>268</v>
      </c>
      <c r="D192" s="1" t="s">
        <v>314</v>
      </c>
      <c r="E192" s="1" t="s">
        <v>848</v>
      </c>
      <c r="F192" s="1" t="s">
        <v>849</v>
      </c>
      <c r="G192" s="1" t="b">
        <v>0</v>
      </c>
      <c r="H192" s="1" t="b">
        <v>0</v>
      </c>
      <c r="I192" s="1" t="s">
        <v>12</v>
      </c>
    </row>
    <row r="193" spans="1:9">
      <c r="A193" s="2">
        <v>5987</v>
      </c>
      <c r="B193" s="2" t="s">
        <v>850</v>
      </c>
      <c r="C193" s="2" t="s">
        <v>273</v>
      </c>
      <c r="D193" s="2" t="s">
        <v>292</v>
      </c>
      <c r="E193" s="2" t="s">
        <v>851</v>
      </c>
      <c r="F193" s="2" t="s">
        <v>852</v>
      </c>
      <c r="G193" s="2" t="b">
        <v>0</v>
      </c>
      <c r="H193" s="2" t="b">
        <v>0</v>
      </c>
      <c r="I193" s="2" t="s">
        <v>24</v>
      </c>
    </row>
    <row r="194" spans="1:9">
      <c r="A194" s="1">
        <v>9511</v>
      </c>
      <c r="B194" s="1" t="s">
        <v>853</v>
      </c>
      <c r="C194" s="1" t="s">
        <v>268</v>
      </c>
      <c r="D194" s="1" t="s">
        <v>299</v>
      </c>
      <c r="E194" s="1" t="s">
        <v>854</v>
      </c>
      <c r="F194" s="1" t="s">
        <v>855</v>
      </c>
      <c r="G194" s="1" t="b">
        <v>1</v>
      </c>
      <c r="H194" s="1" t="b">
        <v>0</v>
      </c>
      <c r="I194" s="1" t="s">
        <v>12</v>
      </c>
    </row>
    <row r="195" spans="1:9">
      <c r="A195" s="2">
        <v>5581</v>
      </c>
      <c r="B195" s="2" t="s">
        <v>856</v>
      </c>
      <c r="C195" s="2" t="s">
        <v>268</v>
      </c>
      <c r="D195" s="2" t="s">
        <v>526</v>
      </c>
      <c r="E195" s="2" t="s">
        <v>857</v>
      </c>
      <c r="F195" s="2" t="s">
        <v>858</v>
      </c>
      <c r="G195" s="2" t="b">
        <v>1</v>
      </c>
      <c r="H195" s="2" t="b">
        <v>1</v>
      </c>
      <c r="I195" s="2" t="s">
        <v>10</v>
      </c>
    </row>
    <row r="196" spans="1:9">
      <c r="A196" s="1">
        <v>4239</v>
      </c>
      <c r="B196" s="1" t="s">
        <v>859</v>
      </c>
      <c r="C196" s="1" t="s">
        <v>273</v>
      </c>
      <c r="D196" s="1" t="s">
        <v>278</v>
      </c>
      <c r="E196" s="1" t="s">
        <v>860</v>
      </c>
      <c r="F196" s="1" t="s">
        <v>861</v>
      </c>
      <c r="G196" s="1" t="b">
        <v>1</v>
      </c>
      <c r="H196" s="1" t="b">
        <v>1</v>
      </c>
      <c r="I196" s="1" t="s">
        <v>12</v>
      </c>
    </row>
    <row r="197" spans="1:9">
      <c r="A197" s="2">
        <v>4626</v>
      </c>
      <c r="B197" s="2" t="s">
        <v>862</v>
      </c>
      <c r="C197" s="2" t="s">
        <v>268</v>
      </c>
      <c r="D197" s="2" t="s">
        <v>310</v>
      </c>
      <c r="E197" s="2" t="s">
        <v>863</v>
      </c>
      <c r="F197" s="2" t="s">
        <v>864</v>
      </c>
      <c r="G197" s="2" t="b">
        <v>0</v>
      </c>
      <c r="H197" s="2" t="b">
        <v>0</v>
      </c>
      <c r="I197" s="2" t="s">
        <v>865</v>
      </c>
    </row>
    <row r="198" spans="1:9">
      <c r="A198" s="1">
        <v>4626</v>
      </c>
      <c r="B198" s="1" t="s">
        <v>866</v>
      </c>
      <c r="C198" s="1" t="s">
        <v>268</v>
      </c>
      <c r="D198" s="1" t="s">
        <v>310</v>
      </c>
      <c r="E198" s="1" t="s">
        <v>863</v>
      </c>
      <c r="F198" s="1" t="s">
        <v>864</v>
      </c>
      <c r="G198" s="1" t="b">
        <v>0</v>
      </c>
      <c r="H198" s="1" t="b">
        <v>0</v>
      </c>
      <c r="I198" s="1" t="s">
        <v>20</v>
      </c>
    </row>
    <row r="199" spans="1:9">
      <c r="A199" s="2">
        <v>6567</v>
      </c>
      <c r="B199" s="2" t="s">
        <v>867</v>
      </c>
      <c r="C199" s="2" t="s">
        <v>273</v>
      </c>
      <c r="D199" s="2" t="s">
        <v>299</v>
      </c>
      <c r="E199" s="2" t="s">
        <v>868</v>
      </c>
      <c r="F199" s="2" t="s">
        <v>869</v>
      </c>
      <c r="G199" s="2" t="b">
        <v>1</v>
      </c>
      <c r="H199" s="2" t="b">
        <v>1</v>
      </c>
      <c r="I199" s="2" t="s">
        <v>22</v>
      </c>
    </row>
    <row r="200" spans="1:9">
      <c r="A200" s="1">
        <v>5242</v>
      </c>
      <c r="B200" s="1" t="s">
        <v>870</v>
      </c>
      <c r="C200" s="1" t="s">
        <v>273</v>
      </c>
      <c r="D200" s="1" t="s">
        <v>310</v>
      </c>
      <c r="E200" s="1" t="s">
        <v>871</v>
      </c>
      <c r="F200" s="1" t="s">
        <v>872</v>
      </c>
      <c r="G200" s="1" t="b">
        <v>0</v>
      </c>
      <c r="H200" s="1" t="b">
        <v>0</v>
      </c>
      <c r="I200" s="1" t="s">
        <v>18</v>
      </c>
    </row>
    <row r="201" spans="1:9">
      <c r="A201" s="2">
        <v>4368</v>
      </c>
      <c r="B201" s="2" t="s">
        <v>873</v>
      </c>
      <c r="C201" s="2" t="s">
        <v>268</v>
      </c>
      <c r="D201" s="2" t="s">
        <v>526</v>
      </c>
      <c r="E201" s="2" t="s">
        <v>874</v>
      </c>
      <c r="F201" s="2" t="s">
        <v>875</v>
      </c>
      <c r="G201" s="2" t="b">
        <v>1</v>
      </c>
      <c r="H201" s="2" t="b">
        <v>1</v>
      </c>
      <c r="I201" s="2" t="s">
        <v>876</v>
      </c>
    </row>
    <row r="202" spans="1:9">
      <c r="A202" s="1">
        <v>1126</v>
      </c>
      <c r="B202" s="1" t="s">
        <v>877</v>
      </c>
      <c r="C202" s="1" t="s">
        <v>268</v>
      </c>
      <c r="D202" s="1" t="s">
        <v>526</v>
      </c>
      <c r="E202" s="1" t="s">
        <v>878</v>
      </c>
      <c r="F202" s="1" t="s">
        <v>879</v>
      </c>
      <c r="G202" s="1" t="b">
        <v>1</v>
      </c>
      <c r="H202" s="1" t="b">
        <v>0</v>
      </c>
      <c r="I202" s="1" t="s">
        <v>24</v>
      </c>
    </row>
    <row r="203" spans="1:9">
      <c r="A203" s="2">
        <v>6247</v>
      </c>
      <c r="B203" s="2" t="s">
        <v>880</v>
      </c>
      <c r="C203" s="2" t="s">
        <v>273</v>
      </c>
      <c r="D203" s="2" t="s">
        <v>274</v>
      </c>
      <c r="E203" s="2" t="s">
        <v>881</v>
      </c>
      <c r="F203" s="2" t="s">
        <v>882</v>
      </c>
      <c r="G203" s="2" t="b">
        <v>1</v>
      </c>
      <c r="H203" s="2" t="b">
        <v>1</v>
      </c>
      <c r="I203" s="2" t="s">
        <v>20</v>
      </c>
    </row>
    <row r="204" spans="1:9">
      <c r="A204" s="1">
        <v>6315</v>
      </c>
      <c r="B204" s="1" t="s">
        <v>883</v>
      </c>
      <c r="C204" s="1" t="s">
        <v>268</v>
      </c>
      <c r="D204" s="1" t="s">
        <v>269</v>
      </c>
      <c r="E204" s="1" t="s">
        <v>884</v>
      </c>
      <c r="F204" s="1" t="s">
        <v>885</v>
      </c>
      <c r="G204" s="1" t="b">
        <v>1</v>
      </c>
      <c r="H204" s="1" t="b">
        <v>1</v>
      </c>
      <c r="I204" s="1" t="s">
        <v>24</v>
      </c>
    </row>
    <row r="205" spans="1:9">
      <c r="A205" s="2">
        <v>6315</v>
      </c>
      <c r="B205" s="2" t="s">
        <v>886</v>
      </c>
      <c r="C205" s="2" t="s">
        <v>268</v>
      </c>
      <c r="D205" s="2" t="s">
        <v>269</v>
      </c>
      <c r="E205" s="2" t="s">
        <v>884</v>
      </c>
      <c r="F205" s="2" t="s">
        <v>885</v>
      </c>
      <c r="G205" s="2" t="b">
        <v>1</v>
      </c>
      <c r="H205" s="2" t="b">
        <v>1</v>
      </c>
      <c r="I205" s="2" t="s">
        <v>12</v>
      </c>
    </row>
    <row r="206" spans="1:9">
      <c r="A206" s="1">
        <v>3483</v>
      </c>
      <c r="B206" s="1" t="s">
        <v>887</v>
      </c>
      <c r="C206" s="1" t="s">
        <v>268</v>
      </c>
      <c r="D206" s="1" t="s">
        <v>269</v>
      </c>
      <c r="E206" s="1" t="s">
        <v>888</v>
      </c>
      <c r="F206" s="1" t="s">
        <v>889</v>
      </c>
      <c r="G206" s="1" t="b">
        <v>0</v>
      </c>
      <c r="H206" s="1" t="b">
        <v>1</v>
      </c>
      <c r="I206" s="1" t="s">
        <v>15</v>
      </c>
    </row>
    <row r="207" spans="1:9">
      <c r="A207" s="2">
        <v>5462</v>
      </c>
      <c r="B207" s="2" t="s">
        <v>890</v>
      </c>
      <c r="C207" s="2" t="s">
        <v>273</v>
      </c>
      <c r="D207" s="2" t="s">
        <v>526</v>
      </c>
      <c r="E207" s="2" t="s">
        <v>891</v>
      </c>
      <c r="F207" s="2" t="s">
        <v>892</v>
      </c>
      <c r="G207" s="2" t="b">
        <v>0</v>
      </c>
      <c r="H207" s="2" t="b">
        <v>1</v>
      </c>
      <c r="I207" s="2" t="s">
        <v>893</v>
      </c>
    </row>
    <row r="208" spans="1:9">
      <c r="A208" s="1">
        <v>9841</v>
      </c>
      <c r="B208" s="1" t="s">
        <v>894</v>
      </c>
      <c r="C208" s="1" t="s">
        <v>273</v>
      </c>
      <c r="D208" s="1" t="s">
        <v>278</v>
      </c>
      <c r="E208" s="1" t="s">
        <v>895</v>
      </c>
      <c r="F208" s="1" t="s">
        <v>896</v>
      </c>
      <c r="G208" s="1" t="b">
        <v>1</v>
      </c>
      <c r="H208" s="1" t="b">
        <v>1</v>
      </c>
      <c r="I208" s="1" t="s">
        <v>22</v>
      </c>
    </row>
    <row r="209" spans="1:9">
      <c r="A209" s="2">
        <v>4203</v>
      </c>
      <c r="B209" s="2" t="s">
        <v>897</v>
      </c>
      <c r="C209" s="2" t="s">
        <v>268</v>
      </c>
      <c r="D209" s="2" t="s">
        <v>292</v>
      </c>
      <c r="E209" s="2" t="s">
        <v>898</v>
      </c>
      <c r="F209" s="2" t="s">
        <v>748</v>
      </c>
      <c r="G209" s="2" t="b">
        <v>1</v>
      </c>
      <c r="H209" s="2" t="b">
        <v>0</v>
      </c>
      <c r="I209" s="2" t="s">
        <v>899</v>
      </c>
    </row>
    <row r="210" spans="1:9">
      <c r="A210" s="1">
        <v>5077</v>
      </c>
      <c r="B210" s="1" t="s">
        <v>900</v>
      </c>
      <c r="C210" s="1" t="s">
        <v>273</v>
      </c>
      <c r="D210" s="1" t="s">
        <v>278</v>
      </c>
      <c r="E210" s="1" t="s">
        <v>901</v>
      </c>
      <c r="F210" s="1" t="s">
        <v>902</v>
      </c>
      <c r="G210" s="1" t="b">
        <v>0</v>
      </c>
      <c r="H210" s="1" t="b">
        <v>0</v>
      </c>
      <c r="I210" s="1" t="s">
        <v>319</v>
      </c>
    </row>
    <row r="211" spans="1:9">
      <c r="A211" s="2">
        <v>3869</v>
      </c>
      <c r="B211" s="2" t="s">
        <v>903</v>
      </c>
      <c r="C211" s="2" t="s">
        <v>273</v>
      </c>
      <c r="D211" s="2" t="s">
        <v>314</v>
      </c>
      <c r="E211" s="2" t="s">
        <v>904</v>
      </c>
      <c r="F211" s="2" t="s">
        <v>905</v>
      </c>
      <c r="G211" s="2" t="b">
        <v>1</v>
      </c>
      <c r="H211" s="2" t="b">
        <v>1</v>
      </c>
      <c r="I211" s="2" t="s">
        <v>20</v>
      </c>
    </row>
    <row r="212" spans="1:9">
      <c r="A212" s="1">
        <v>1393</v>
      </c>
      <c r="B212" s="1" t="s">
        <v>906</v>
      </c>
      <c r="C212" s="1" t="s">
        <v>273</v>
      </c>
      <c r="D212" s="1" t="s">
        <v>368</v>
      </c>
      <c r="E212" s="1" t="s">
        <v>907</v>
      </c>
      <c r="F212" s="1" t="s">
        <v>908</v>
      </c>
      <c r="G212" s="1" t="b">
        <v>1</v>
      </c>
      <c r="H212" s="1" t="b">
        <v>1</v>
      </c>
      <c r="I212" s="1" t="s">
        <v>22</v>
      </c>
    </row>
    <row r="213" spans="1:9">
      <c r="A213" s="2">
        <v>5726</v>
      </c>
      <c r="B213" s="2" t="s">
        <v>909</v>
      </c>
      <c r="C213" s="2" t="s">
        <v>268</v>
      </c>
      <c r="D213" s="2" t="s">
        <v>526</v>
      </c>
      <c r="E213" s="2" t="s">
        <v>910</v>
      </c>
      <c r="F213" s="2" t="s">
        <v>911</v>
      </c>
      <c r="G213" s="2" t="b">
        <v>1</v>
      </c>
      <c r="H213" s="2" t="b">
        <v>0</v>
      </c>
      <c r="I213" s="2" t="s">
        <v>22</v>
      </c>
    </row>
    <row r="214" spans="1:9">
      <c r="A214" s="1">
        <v>8088</v>
      </c>
      <c r="B214" s="1" t="s">
        <v>912</v>
      </c>
      <c r="C214" s="1" t="s">
        <v>268</v>
      </c>
      <c r="D214" s="1" t="s">
        <v>356</v>
      </c>
      <c r="E214" s="1" t="s">
        <v>913</v>
      </c>
      <c r="F214" s="1" t="s">
        <v>914</v>
      </c>
      <c r="G214" s="1" t="b">
        <v>0</v>
      </c>
      <c r="H214" s="1" t="b">
        <v>0</v>
      </c>
      <c r="I214" s="1" t="s">
        <v>27</v>
      </c>
    </row>
    <row r="215" spans="1:9">
      <c r="A215" s="2">
        <v>7230</v>
      </c>
      <c r="B215" s="2" t="s">
        <v>915</v>
      </c>
      <c r="C215" s="2" t="s">
        <v>268</v>
      </c>
      <c r="D215" s="2" t="s">
        <v>278</v>
      </c>
      <c r="E215" s="2" t="s">
        <v>916</v>
      </c>
      <c r="F215" s="2" t="s">
        <v>917</v>
      </c>
      <c r="G215" s="2" t="b">
        <v>0</v>
      </c>
      <c r="H215" s="2" t="b">
        <v>0</v>
      </c>
      <c r="I215" s="2" t="s">
        <v>12</v>
      </c>
    </row>
    <row r="216" spans="1:9">
      <c r="A216" s="1">
        <v>1849</v>
      </c>
      <c r="B216" s="1" t="s">
        <v>918</v>
      </c>
      <c r="C216" s="1" t="s">
        <v>268</v>
      </c>
      <c r="D216" s="1" t="s">
        <v>285</v>
      </c>
      <c r="E216" s="1" t="s">
        <v>919</v>
      </c>
      <c r="F216" s="1" t="s">
        <v>920</v>
      </c>
      <c r="G216" s="1" t="b">
        <v>0</v>
      </c>
      <c r="H216" s="1" t="b">
        <v>0</v>
      </c>
      <c r="I216" s="1" t="s">
        <v>10</v>
      </c>
    </row>
    <row r="217" spans="1:9">
      <c r="A217" s="2">
        <v>8378</v>
      </c>
      <c r="B217" s="2" t="s">
        <v>921</v>
      </c>
      <c r="C217" s="2" t="s">
        <v>273</v>
      </c>
      <c r="D217" s="2" t="s">
        <v>62</v>
      </c>
      <c r="E217" s="2" t="s">
        <v>62</v>
      </c>
      <c r="F217" s="2" t="s">
        <v>922</v>
      </c>
      <c r="G217" s="2"/>
      <c r="H217" s="2" t="b">
        <v>1</v>
      </c>
      <c r="I217" s="2" t="s">
        <v>24</v>
      </c>
    </row>
    <row r="218" spans="1:9">
      <c r="A218" s="1">
        <v>2434</v>
      </c>
      <c r="B218" s="1" t="s">
        <v>923</v>
      </c>
      <c r="C218" s="1" t="s">
        <v>268</v>
      </c>
      <c r="D218" s="1" t="s">
        <v>269</v>
      </c>
      <c r="E218" s="1" t="s">
        <v>924</v>
      </c>
      <c r="F218" s="1" t="s">
        <v>925</v>
      </c>
      <c r="G218" s="1" t="b">
        <v>1</v>
      </c>
      <c r="H218" s="1" t="b">
        <v>1</v>
      </c>
      <c r="I218" s="1" t="s">
        <v>10</v>
      </c>
    </row>
    <row r="219" spans="1:9">
      <c r="A219" s="2">
        <v>5633</v>
      </c>
      <c r="B219" s="2" t="s">
        <v>926</v>
      </c>
      <c r="C219" s="2" t="s">
        <v>273</v>
      </c>
      <c r="D219" s="2" t="s">
        <v>314</v>
      </c>
      <c r="E219" s="2" t="s">
        <v>927</v>
      </c>
      <c r="F219" s="2" t="s">
        <v>928</v>
      </c>
      <c r="G219" s="2" t="b">
        <v>1</v>
      </c>
      <c r="H219" s="2" t="b">
        <v>1</v>
      </c>
      <c r="I219" s="2" t="s">
        <v>15</v>
      </c>
    </row>
    <row r="220" spans="1:9">
      <c r="A220" s="1">
        <v>8392</v>
      </c>
      <c r="B220" s="1" t="s">
        <v>929</v>
      </c>
      <c r="C220" s="1" t="s">
        <v>273</v>
      </c>
      <c r="D220" s="1" t="s">
        <v>299</v>
      </c>
      <c r="E220" s="1" t="s">
        <v>930</v>
      </c>
      <c r="F220" s="1" t="s">
        <v>931</v>
      </c>
      <c r="G220" s="1" t="b">
        <v>1</v>
      </c>
      <c r="H220" s="1" t="b">
        <v>0</v>
      </c>
      <c r="I220" s="1" t="s">
        <v>932</v>
      </c>
    </row>
    <row r="221" spans="1:9">
      <c r="A221" s="2">
        <v>9180</v>
      </c>
      <c r="B221" s="2" t="s">
        <v>933</v>
      </c>
      <c r="C221" s="2" t="s">
        <v>273</v>
      </c>
      <c r="D221" s="2" t="s">
        <v>292</v>
      </c>
      <c r="E221" s="2" t="s">
        <v>934</v>
      </c>
      <c r="F221" s="2" t="s">
        <v>935</v>
      </c>
      <c r="G221" s="2" t="b">
        <v>0</v>
      </c>
      <c r="H221" s="2" t="b">
        <v>1</v>
      </c>
      <c r="I221" s="2" t="s">
        <v>936</v>
      </c>
    </row>
    <row r="222" spans="1:9">
      <c r="A222" s="1">
        <v>5240</v>
      </c>
      <c r="B222" s="1" t="s">
        <v>937</v>
      </c>
      <c r="C222" s="1" t="s">
        <v>268</v>
      </c>
      <c r="D222" s="1" t="s">
        <v>356</v>
      </c>
      <c r="E222" s="1" t="s">
        <v>938</v>
      </c>
      <c r="F222" s="1" t="s">
        <v>939</v>
      </c>
      <c r="G222" s="1" t="b">
        <v>0</v>
      </c>
      <c r="H222" s="1" t="b">
        <v>1</v>
      </c>
      <c r="I222" s="1" t="s">
        <v>18</v>
      </c>
    </row>
    <row r="223" spans="1:9">
      <c r="A223" s="2">
        <v>9246</v>
      </c>
      <c r="B223" s="2" t="s">
        <v>940</v>
      </c>
      <c r="C223" s="2" t="s">
        <v>273</v>
      </c>
      <c r="D223" s="2" t="s">
        <v>314</v>
      </c>
      <c r="E223" s="2" t="s">
        <v>941</v>
      </c>
      <c r="F223" s="2" t="s">
        <v>942</v>
      </c>
      <c r="G223" s="2" t="b">
        <v>1</v>
      </c>
      <c r="H223" s="2" t="b">
        <v>1</v>
      </c>
      <c r="I223" s="2" t="s">
        <v>943</v>
      </c>
    </row>
    <row r="224" spans="1:9">
      <c r="A224" s="1">
        <v>5680</v>
      </c>
      <c r="B224" s="1" t="s">
        <v>944</v>
      </c>
      <c r="C224" s="1" t="s">
        <v>268</v>
      </c>
      <c r="D224" s="1" t="s">
        <v>314</v>
      </c>
      <c r="E224" s="1" t="s">
        <v>945</v>
      </c>
      <c r="F224" s="1" t="s">
        <v>946</v>
      </c>
      <c r="G224" s="1" t="b">
        <v>1</v>
      </c>
      <c r="H224" s="1" t="b">
        <v>0</v>
      </c>
      <c r="I224" s="1" t="s">
        <v>10</v>
      </c>
    </row>
    <row r="225" spans="1:9">
      <c r="A225" s="2">
        <v>4221</v>
      </c>
      <c r="B225" s="2" t="s">
        <v>947</v>
      </c>
      <c r="C225" s="2" t="s">
        <v>273</v>
      </c>
      <c r="D225" s="2" t="s">
        <v>303</v>
      </c>
      <c r="E225" s="2" t="s">
        <v>948</v>
      </c>
      <c r="F225" s="2" t="s">
        <v>949</v>
      </c>
      <c r="G225" s="2" t="b">
        <v>0</v>
      </c>
      <c r="H225" s="2" t="b">
        <v>1</v>
      </c>
      <c r="I225" s="2" t="s">
        <v>24</v>
      </c>
    </row>
    <row r="226" spans="1:9">
      <c r="A226" s="1">
        <v>6669</v>
      </c>
      <c r="B226" s="1" t="s">
        <v>950</v>
      </c>
      <c r="C226" s="1" t="s">
        <v>273</v>
      </c>
      <c r="D226" s="1" t="s">
        <v>303</v>
      </c>
      <c r="E226" s="1" t="s">
        <v>951</v>
      </c>
      <c r="F226" s="1" t="s">
        <v>952</v>
      </c>
      <c r="G226" s="1" t="b">
        <v>1</v>
      </c>
      <c r="H226" s="1" t="b">
        <v>1</v>
      </c>
      <c r="I226" s="1" t="s">
        <v>18</v>
      </c>
    </row>
    <row r="227" spans="1:9">
      <c r="A227" s="2">
        <v>2327</v>
      </c>
      <c r="B227" s="2" t="s">
        <v>953</v>
      </c>
      <c r="C227" s="2" t="s">
        <v>273</v>
      </c>
      <c r="D227" s="2" t="s">
        <v>274</v>
      </c>
      <c r="E227" s="2" t="s">
        <v>954</v>
      </c>
      <c r="F227" s="2" t="s">
        <v>955</v>
      </c>
      <c r="G227" s="2" t="b">
        <v>1</v>
      </c>
      <c r="H227" s="2" t="b">
        <v>1</v>
      </c>
      <c r="I227" s="2" t="s">
        <v>591</v>
      </c>
    </row>
    <row r="228" spans="1:9">
      <c r="A228" s="1">
        <v>6414</v>
      </c>
      <c r="B228" s="1" t="s">
        <v>956</v>
      </c>
      <c r="C228" s="1" t="s">
        <v>273</v>
      </c>
      <c r="D228" s="1" t="s">
        <v>278</v>
      </c>
      <c r="E228" s="1" t="s">
        <v>957</v>
      </c>
      <c r="F228" s="1" t="s">
        <v>958</v>
      </c>
      <c r="G228" s="1" t="b">
        <v>1</v>
      </c>
      <c r="H228" s="1" t="b">
        <v>1</v>
      </c>
      <c r="I228" s="1" t="s">
        <v>22</v>
      </c>
    </row>
    <row r="229" spans="1:9">
      <c r="A229" s="2">
        <v>9055</v>
      </c>
      <c r="B229" s="2" t="s">
        <v>959</v>
      </c>
      <c r="C229" s="2" t="s">
        <v>273</v>
      </c>
      <c r="D229" s="2" t="s">
        <v>356</v>
      </c>
      <c r="E229" s="2" t="s">
        <v>960</v>
      </c>
      <c r="F229" s="2" t="s">
        <v>961</v>
      </c>
      <c r="G229" s="2" t="b">
        <v>0</v>
      </c>
      <c r="H229" s="2" t="b">
        <v>1</v>
      </c>
      <c r="I229" s="2" t="s">
        <v>18</v>
      </c>
    </row>
    <row r="230" spans="1:9">
      <c r="A230" s="1">
        <v>3156</v>
      </c>
      <c r="B230" s="1" t="s">
        <v>962</v>
      </c>
      <c r="C230" s="1" t="s">
        <v>273</v>
      </c>
      <c r="D230" s="1" t="s">
        <v>314</v>
      </c>
      <c r="E230" s="1" t="s">
        <v>963</v>
      </c>
      <c r="F230" s="1" t="s">
        <v>964</v>
      </c>
      <c r="G230" s="1" t="b">
        <v>0</v>
      </c>
      <c r="H230" s="1" t="b">
        <v>0</v>
      </c>
      <c r="I230" s="1" t="s">
        <v>20</v>
      </c>
    </row>
    <row r="231" spans="1:9">
      <c r="A231" s="2">
        <v>6864</v>
      </c>
      <c r="B231" s="2" t="s">
        <v>965</v>
      </c>
      <c r="C231" s="2" t="s">
        <v>268</v>
      </c>
      <c r="D231" s="2" t="s">
        <v>292</v>
      </c>
      <c r="E231" s="2" t="s">
        <v>966</v>
      </c>
      <c r="F231" s="2" t="s">
        <v>967</v>
      </c>
      <c r="G231" s="2" t="b">
        <v>1</v>
      </c>
      <c r="H231" s="2" t="b">
        <v>0</v>
      </c>
      <c r="I231" s="2" t="s">
        <v>711</v>
      </c>
    </row>
    <row r="232" spans="1:9">
      <c r="A232" s="1">
        <v>7496</v>
      </c>
      <c r="B232" s="1" t="s">
        <v>968</v>
      </c>
      <c r="C232" s="1" t="s">
        <v>273</v>
      </c>
      <c r="D232" s="1" t="s">
        <v>314</v>
      </c>
      <c r="E232" s="1" t="s">
        <v>969</v>
      </c>
      <c r="F232" s="1" t="s">
        <v>537</v>
      </c>
      <c r="G232" s="1" t="b">
        <v>1</v>
      </c>
      <c r="H232" s="1" t="b">
        <v>0</v>
      </c>
      <c r="I232" s="1" t="s">
        <v>62</v>
      </c>
    </row>
    <row r="233" spans="1:9">
      <c r="A233" s="2">
        <v>9240</v>
      </c>
      <c r="B233" s="2" t="s">
        <v>970</v>
      </c>
      <c r="C233" s="2" t="s">
        <v>268</v>
      </c>
      <c r="D233" s="2" t="s">
        <v>356</v>
      </c>
      <c r="E233" s="2" t="s">
        <v>971</v>
      </c>
      <c r="F233" s="2" t="s">
        <v>972</v>
      </c>
      <c r="G233" s="2" t="b">
        <v>1</v>
      </c>
      <c r="H233" s="2" t="b">
        <v>0</v>
      </c>
      <c r="I233" s="2" t="s">
        <v>27</v>
      </c>
    </row>
    <row r="234" spans="1:9">
      <c r="A234" s="1">
        <v>6780</v>
      </c>
      <c r="B234" s="1" t="s">
        <v>973</v>
      </c>
      <c r="C234" s="1" t="s">
        <v>268</v>
      </c>
      <c r="D234" s="1" t="s">
        <v>292</v>
      </c>
      <c r="E234" s="1" t="s">
        <v>974</v>
      </c>
      <c r="F234" s="1" t="s">
        <v>590</v>
      </c>
      <c r="G234" s="1" t="b">
        <v>0</v>
      </c>
      <c r="H234" s="1" t="b">
        <v>1</v>
      </c>
      <c r="I234" s="1" t="s">
        <v>22</v>
      </c>
    </row>
    <row r="235" spans="1:9">
      <c r="A235" s="2">
        <v>5253</v>
      </c>
      <c r="B235" s="2" t="s">
        <v>975</v>
      </c>
      <c r="C235" s="2" t="s">
        <v>273</v>
      </c>
      <c r="D235" s="2" t="s">
        <v>526</v>
      </c>
      <c r="E235" s="2" t="s">
        <v>976</v>
      </c>
      <c r="F235" s="2" t="s">
        <v>977</v>
      </c>
      <c r="G235" s="2" t="b">
        <v>0</v>
      </c>
      <c r="H235" s="2" t="b">
        <v>1</v>
      </c>
      <c r="I235" s="2" t="s">
        <v>12</v>
      </c>
    </row>
    <row r="236" spans="1:9">
      <c r="A236" s="1">
        <v>2999</v>
      </c>
      <c r="B236" s="1" t="s">
        <v>978</v>
      </c>
      <c r="C236" s="1" t="s">
        <v>273</v>
      </c>
      <c r="D236" s="1" t="s">
        <v>299</v>
      </c>
      <c r="E236" s="1" t="s">
        <v>979</v>
      </c>
      <c r="F236" s="1" t="s">
        <v>980</v>
      </c>
      <c r="G236" s="1" t="b">
        <v>0</v>
      </c>
      <c r="H236" s="1" t="b">
        <v>0</v>
      </c>
      <c r="I236" s="1" t="s">
        <v>15</v>
      </c>
    </row>
    <row r="237" spans="1:9">
      <c r="A237" s="2">
        <v>7798</v>
      </c>
      <c r="B237" s="2" t="s">
        <v>981</v>
      </c>
      <c r="C237" s="2" t="s">
        <v>273</v>
      </c>
      <c r="D237" s="2" t="s">
        <v>314</v>
      </c>
      <c r="E237" s="2" t="s">
        <v>982</v>
      </c>
      <c r="F237" s="2" t="s">
        <v>983</v>
      </c>
      <c r="G237" s="2" t="b">
        <v>0</v>
      </c>
      <c r="H237" s="2" t="b">
        <v>0</v>
      </c>
      <c r="I237" s="2" t="s">
        <v>24</v>
      </c>
    </row>
    <row r="238" spans="1:9">
      <c r="A238" s="1">
        <v>7769</v>
      </c>
      <c r="B238" s="1" t="s">
        <v>984</v>
      </c>
      <c r="C238" s="1" t="s">
        <v>273</v>
      </c>
      <c r="D238" s="1" t="s">
        <v>310</v>
      </c>
      <c r="E238" s="1" t="s">
        <v>985</v>
      </c>
      <c r="F238" s="1" t="s">
        <v>986</v>
      </c>
      <c r="G238" s="1" t="b">
        <v>0</v>
      </c>
      <c r="H238" s="1" t="b">
        <v>0</v>
      </c>
      <c r="I238" s="1" t="s">
        <v>12</v>
      </c>
    </row>
    <row r="239" spans="1:9">
      <c r="A239" s="2">
        <v>9360</v>
      </c>
      <c r="B239" s="2" t="s">
        <v>987</v>
      </c>
      <c r="C239" s="2" t="s">
        <v>273</v>
      </c>
      <c r="D239" s="2" t="s">
        <v>292</v>
      </c>
      <c r="E239" s="2" t="s">
        <v>988</v>
      </c>
      <c r="F239" s="2" t="s">
        <v>989</v>
      </c>
      <c r="G239" s="2" t="b">
        <v>0</v>
      </c>
      <c r="H239" s="2" t="b">
        <v>0</v>
      </c>
      <c r="I239" s="2" t="s">
        <v>936</v>
      </c>
    </row>
    <row r="240" spans="1:9">
      <c r="A240" s="1">
        <v>9360</v>
      </c>
      <c r="B240" s="1" t="s">
        <v>990</v>
      </c>
      <c r="C240" s="1" t="s">
        <v>273</v>
      </c>
      <c r="D240" s="1" t="s">
        <v>292</v>
      </c>
      <c r="E240" s="1" t="s">
        <v>988</v>
      </c>
      <c r="F240" s="1" t="s">
        <v>989</v>
      </c>
      <c r="G240" s="1" t="b">
        <v>0</v>
      </c>
      <c r="H240" s="1" t="b">
        <v>0</v>
      </c>
      <c r="I240" s="1" t="s">
        <v>18</v>
      </c>
    </row>
    <row r="241" spans="1:9">
      <c r="A241" s="2">
        <v>7925</v>
      </c>
      <c r="B241" s="2" t="s">
        <v>991</v>
      </c>
      <c r="C241" s="2" t="s">
        <v>273</v>
      </c>
      <c r="D241" s="2" t="s">
        <v>368</v>
      </c>
      <c r="E241" s="2" t="s">
        <v>992</v>
      </c>
      <c r="F241" s="2" t="s">
        <v>993</v>
      </c>
      <c r="G241" s="2" t="b">
        <v>0</v>
      </c>
      <c r="H241" s="2" t="b">
        <v>0</v>
      </c>
      <c r="I241" s="2" t="s">
        <v>711</v>
      </c>
    </row>
    <row r="242" spans="1:9">
      <c r="A242" s="1">
        <v>3580</v>
      </c>
      <c r="B242" s="1" t="s">
        <v>994</v>
      </c>
      <c r="C242" s="1" t="s">
        <v>268</v>
      </c>
      <c r="D242" s="1" t="s">
        <v>368</v>
      </c>
      <c r="E242" s="1" t="s">
        <v>995</v>
      </c>
      <c r="F242" s="1" t="s">
        <v>996</v>
      </c>
      <c r="G242" s="1" t="b">
        <v>0</v>
      </c>
      <c r="H242" s="1" t="b">
        <v>1</v>
      </c>
      <c r="I242" s="1" t="s">
        <v>62</v>
      </c>
    </row>
    <row r="243" spans="1:9">
      <c r="A243" s="2">
        <v>4193</v>
      </c>
      <c r="B243" s="2" t="s">
        <v>997</v>
      </c>
      <c r="C243" s="2" t="s">
        <v>268</v>
      </c>
      <c r="D243" s="2" t="s">
        <v>285</v>
      </c>
      <c r="E243" s="2" t="s">
        <v>998</v>
      </c>
      <c r="F243" s="2" t="s">
        <v>999</v>
      </c>
      <c r="G243" s="2" t="b">
        <v>0</v>
      </c>
      <c r="H243" s="2" t="b">
        <v>0</v>
      </c>
      <c r="I243" s="2" t="s">
        <v>62</v>
      </c>
    </row>
    <row r="244" spans="1:9">
      <c r="A244" s="1">
        <v>6300</v>
      </c>
      <c r="B244" s="1" t="s">
        <v>1000</v>
      </c>
      <c r="C244" s="1" t="s">
        <v>268</v>
      </c>
      <c r="D244" s="1" t="s">
        <v>292</v>
      </c>
      <c r="E244" s="1" t="s">
        <v>1001</v>
      </c>
      <c r="F244" s="1" t="s">
        <v>1002</v>
      </c>
      <c r="G244" s="1" t="b">
        <v>1</v>
      </c>
      <c r="H244" s="1" t="b">
        <v>0</v>
      </c>
      <c r="I244" s="1" t="s">
        <v>10</v>
      </c>
    </row>
    <row r="245" spans="1:9">
      <c r="A245" s="2">
        <v>7764</v>
      </c>
      <c r="B245" s="2" t="s">
        <v>1003</v>
      </c>
      <c r="C245" s="2" t="s">
        <v>273</v>
      </c>
      <c r="D245" s="2" t="s">
        <v>356</v>
      </c>
      <c r="E245" s="2" t="s">
        <v>1004</v>
      </c>
      <c r="F245" s="2" t="s">
        <v>911</v>
      </c>
      <c r="G245" s="2" t="b">
        <v>0</v>
      </c>
      <c r="H245" s="2" t="b">
        <v>0</v>
      </c>
      <c r="I245" s="2" t="s">
        <v>62</v>
      </c>
    </row>
    <row r="246" spans="1:9">
      <c r="A246" s="1">
        <v>1943</v>
      </c>
      <c r="B246" s="1" t="s">
        <v>1005</v>
      </c>
      <c r="C246" s="1" t="s">
        <v>268</v>
      </c>
      <c r="D246" s="1" t="s">
        <v>269</v>
      </c>
      <c r="E246" s="1" t="s">
        <v>1006</v>
      </c>
      <c r="F246" s="1" t="s">
        <v>1007</v>
      </c>
      <c r="G246" s="1" t="b">
        <v>1</v>
      </c>
      <c r="H246" s="1" t="b">
        <v>1</v>
      </c>
      <c r="I246" s="1" t="s">
        <v>18</v>
      </c>
    </row>
    <row r="247" spans="1:9">
      <c r="A247" s="2">
        <v>7471</v>
      </c>
      <c r="B247" s="2" t="s">
        <v>1008</v>
      </c>
      <c r="C247" s="2" t="s">
        <v>268</v>
      </c>
      <c r="D247" s="2" t="s">
        <v>278</v>
      </c>
      <c r="E247" s="2" t="s">
        <v>1009</v>
      </c>
      <c r="F247" s="2" t="s">
        <v>1010</v>
      </c>
      <c r="G247" s="2" t="b">
        <v>0</v>
      </c>
      <c r="H247" s="2" t="b">
        <v>1</v>
      </c>
      <c r="I247" s="2" t="s">
        <v>24</v>
      </c>
    </row>
    <row r="248" spans="1:9">
      <c r="A248" s="1">
        <v>9385</v>
      </c>
      <c r="B248" s="1" t="s">
        <v>1011</v>
      </c>
      <c r="C248" s="1" t="s">
        <v>273</v>
      </c>
      <c r="D248" s="1" t="s">
        <v>314</v>
      </c>
      <c r="E248" s="1" t="s">
        <v>1012</v>
      </c>
      <c r="F248" s="1" t="s">
        <v>1013</v>
      </c>
      <c r="G248" s="1" t="b">
        <v>0</v>
      </c>
      <c r="H248" s="1" t="b">
        <v>1</v>
      </c>
      <c r="I248" s="1" t="s">
        <v>12</v>
      </c>
    </row>
    <row r="249" spans="1:9">
      <c r="A249" s="2">
        <v>9385</v>
      </c>
      <c r="B249" s="2" t="s">
        <v>1014</v>
      </c>
      <c r="C249" s="2" t="s">
        <v>273</v>
      </c>
      <c r="D249" s="2" t="s">
        <v>314</v>
      </c>
      <c r="E249" s="2" t="s">
        <v>1012</v>
      </c>
      <c r="F249" s="2" t="s">
        <v>1013</v>
      </c>
      <c r="G249" s="2" t="b">
        <v>0</v>
      </c>
      <c r="H249" s="2" t="b">
        <v>1</v>
      </c>
      <c r="I249" s="2" t="s">
        <v>1015</v>
      </c>
    </row>
    <row r="250" spans="1:9">
      <c r="A250" s="1">
        <v>9632</v>
      </c>
      <c r="B250" s="1" t="s">
        <v>1016</v>
      </c>
      <c r="C250" s="1" t="s">
        <v>273</v>
      </c>
      <c r="D250" s="1" t="s">
        <v>292</v>
      </c>
      <c r="E250" s="1" t="s">
        <v>1017</v>
      </c>
      <c r="F250" s="1" t="s">
        <v>1018</v>
      </c>
      <c r="G250" s="1" t="b">
        <v>0</v>
      </c>
      <c r="H250" s="1" t="b">
        <v>1</v>
      </c>
      <c r="I250" s="1" t="s">
        <v>27</v>
      </c>
    </row>
    <row r="251" spans="1:9">
      <c r="A251" s="2">
        <v>4307</v>
      </c>
      <c r="B251" s="2" t="s">
        <v>1019</v>
      </c>
      <c r="C251" s="2" t="s">
        <v>273</v>
      </c>
      <c r="D251" s="2" t="s">
        <v>299</v>
      </c>
      <c r="E251" s="2" t="s">
        <v>1020</v>
      </c>
      <c r="F251" s="2" t="s">
        <v>1021</v>
      </c>
      <c r="G251" s="2" t="b">
        <v>1</v>
      </c>
      <c r="H251" s="2" t="b">
        <v>1</v>
      </c>
      <c r="I251" s="2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EB8F3-2718-458C-9628-76428CD7C806}">
  <dimension ref="A1:G252"/>
  <sheetViews>
    <sheetView topLeftCell="A228" workbookViewId="0">
      <selection activeCell="C2" sqref="C2:C252"/>
    </sheetView>
  </sheetViews>
  <sheetFormatPr defaultRowHeight="15"/>
  <cols>
    <col min="1" max="1" width="31.42578125" bestFit="1" customWidth="1"/>
    <col min="2" max="2" width="32.42578125" bestFit="1" customWidth="1"/>
    <col min="3" max="3" width="32.42578125" customWidth="1"/>
    <col min="4" max="4" width="14.5703125" bestFit="1" customWidth="1"/>
    <col min="6" max="7" width="32.42578125" bestFit="1" customWidth="1"/>
  </cols>
  <sheetData>
    <row r="1" spans="1:7">
      <c r="A1" t="s">
        <v>1</v>
      </c>
      <c r="B1" t="s">
        <v>1022</v>
      </c>
      <c r="C1" t="s">
        <v>1023</v>
      </c>
      <c r="D1" t="s">
        <v>1024</v>
      </c>
    </row>
    <row r="2" spans="1:7">
      <c r="A2" s="11" t="s">
        <v>267</v>
      </c>
      <c r="B2" s="11" t="str">
        <f>TRIM(PROPER(cleaned_names1[[#This Row],[name]]))</f>
        <v>Wolfgang Frank Fischer</v>
      </c>
      <c r="C2" s="11" t="str">
        <f>_xlfn.XLOOKUP(cleaned_names1[[#This Row],[proper name]], F$2:F$15, G$2:G$15, cleaned_names1[[#This Row],[proper name]])</f>
        <v>Wolfgang Frank Fischer</v>
      </c>
      <c r="D2" s="11">
        <f>COUNTA(_xlfn.TEXTSPLIT(cleaned_names1[cleaned name], " "))</f>
        <v>3</v>
      </c>
      <c r="F2" t="s">
        <v>1025</v>
      </c>
      <c r="G2" t="s">
        <v>26</v>
      </c>
    </row>
    <row r="3" spans="1:7">
      <c r="A3" s="11" t="s">
        <v>1026</v>
      </c>
      <c r="B3" s="11" t="str">
        <f>TRIM(PROPER(cleaned_names1[[#This Row],[name]]))</f>
        <v>Sachiko Yoshiko Yamamoto</v>
      </c>
      <c r="C3" s="11" t="str">
        <f>_xlfn.XLOOKUP(cleaned_names1[[#This Row],[proper name]], F$2:F$15, G$2:G$15, cleaned_names1[[#This Row],[proper name]])</f>
        <v>Sachiko Yoshiko Yamamoto</v>
      </c>
      <c r="D3" s="11">
        <f>COUNTA(_xlfn.TEXTSPLIT(cleaned_names1[cleaned name], " "))</f>
        <v>3</v>
      </c>
      <c r="F3" t="s">
        <v>1027</v>
      </c>
      <c r="G3" t="s">
        <v>40</v>
      </c>
    </row>
    <row r="4" spans="1:7">
      <c r="A4" s="11" t="s">
        <v>1028</v>
      </c>
      <c r="B4" s="11" t="str">
        <f>TRIM(PROPER(cleaned_names1[[#This Row],[name]]))</f>
        <v>Yuki Hiroshi Yamamoto</v>
      </c>
      <c r="C4" s="11" t="str">
        <f>_xlfn.XLOOKUP(cleaned_names1[[#This Row],[proper name]], F$2:F$15, G$2:G$15, cleaned_names1[[#This Row],[proper name]])</f>
        <v>Yuki Hiroshi Yamamoto</v>
      </c>
      <c r="D4" s="11">
        <f>COUNTA(_xlfn.TEXTSPLIT(cleaned_names1[cleaned name], " "))</f>
        <v>3</v>
      </c>
      <c r="F4" t="s">
        <v>1029</v>
      </c>
      <c r="G4" t="s">
        <v>61</v>
      </c>
    </row>
    <row r="5" spans="1:7">
      <c r="A5" s="11" t="s">
        <v>281</v>
      </c>
      <c r="B5" s="11" t="str">
        <f>TRIM(PROPER(cleaned_names1[[#This Row],[name]]))</f>
        <v>James Robert Rodriguez</v>
      </c>
      <c r="C5" s="11" t="str">
        <f>_xlfn.XLOOKUP(cleaned_names1[[#This Row],[proper name]], F$2:F$15, G$2:G$15, cleaned_names1[[#This Row],[proper name]])</f>
        <v>James Robert Rodriguez</v>
      </c>
      <c r="D5" s="11">
        <f>COUNTA(_xlfn.TEXTSPLIT(cleaned_names1[cleaned name], " "))</f>
        <v>3</v>
      </c>
      <c r="F5" t="s">
        <v>1030</v>
      </c>
      <c r="G5" t="s">
        <v>74</v>
      </c>
    </row>
    <row r="6" spans="1:7">
      <c r="A6" s="11" t="s">
        <v>1031</v>
      </c>
      <c r="B6" s="11" t="str">
        <f>TRIM(PROPER(cleaned_names1[[#This Row],[name]]))</f>
        <v>Thomas Robert Brown</v>
      </c>
      <c r="C6" s="11" t="str">
        <f>_xlfn.XLOOKUP(cleaned_names1[[#This Row],[proper name]], F$2:F$15, G$2:G$15, cleaned_names1[[#This Row],[proper name]])</f>
        <v>Thomas Robert Brown</v>
      </c>
      <c r="D6" s="11">
        <f>COUNTA(_xlfn.TEXTSPLIT(cleaned_names1[cleaned name], " "))</f>
        <v>3</v>
      </c>
      <c r="F6" t="s">
        <v>1032</v>
      </c>
      <c r="G6" t="s">
        <v>88</v>
      </c>
    </row>
    <row r="7" spans="1:7">
      <c r="A7" s="11" t="s">
        <v>1033</v>
      </c>
      <c r="B7" s="11" t="str">
        <f>TRIM(PROPER(cleaned_names1[[#This Row],[name]]))</f>
        <v>Márcia Ana Oliveira</v>
      </c>
      <c r="C7" s="11" t="str">
        <f>_xlfn.XLOOKUP(cleaned_names1[[#This Row],[proper name]], F$2:F$15, G$2:G$15, cleaned_names1[[#This Row],[proper name]])</f>
        <v>Márcia Ana Oliveira</v>
      </c>
      <c r="D7" s="11">
        <f>COUNTA(_xlfn.TEXTSPLIT(cleaned_names1[cleaned name], " "))</f>
        <v>3</v>
      </c>
      <c r="F7" t="s">
        <v>1034</v>
      </c>
      <c r="G7" t="s">
        <v>101</v>
      </c>
    </row>
    <row r="8" spans="1:7">
      <c r="A8" s="11" t="s">
        <v>291</v>
      </c>
      <c r="B8" s="11" t="str">
        <f>TRIM(PROPER(cleaned_names1[[#This Row],[name]]))</f>
        <v>Angela Angela Colombo</v>
      </c>
      <c r="C8" s="11" t="str">
        <f>_xlfn.XLOOKUP(cleaned_names1[[#This Row],[proper name]], F$2:F$15, G$2:G$15, cleaned_names1[[#This Row],[proper name]])</f>
        <v>Angela Angela Colombo</v>
      </c>
      <c r="D8" s="11">
        <f>COUNTA(_xlfn.TEXTSPLIT(cleaned_names1[cleaned name], " "))</f>
        <v>3</v>
      </c>
      <c r="F8" t="s">
        <v>1035</v>
      </c>
      <c r="G8" t="s">
        <v>107</v>
      </c>
    </row>
    <row r="9" spans="1:7">
      <c r="A9" s="11" t="s">
        <v>295</v>
      </c>
      <c r="B9" s="11" t="str">
        <f>TRIM(PROPER(cleaned_names1[[#This Row],[name]]))</f>
        <v>Mei Lanh Uang</v>
      </c>
      <c r="C9" s="11" t="str">
        <f>_xlfn.XLOOKUP(cleaned_names1[[#This Row],[proper name]], F$2:F$15, G$2:G$15, cleaned_names1[[#This Row],[proper name]])</f>
        <v>Mei Lanh Uang</v>
      </c>
      <c r="D9" s="11">
        <f>COUNTA(_xlfn.TEXTSPLIT(cleaned_names1[cleaned name], " "))</f>
        <v>3</v>
      </c>
      <c r="F9" t="s">
        <v>1036</v>
      </c>
      <c r="G9" t="s">
        <v>134</v>
      </c>
    </row>
    <row r="10" spans="1:7">
      <c r="A10" s="11" t="s">
        <v>298</v>
      </c>
      <c r="B10" s="11" t="str">
        <f>TRIM(PROPER(cleaned_names1[[#This Row],[name]]))</f>
        <v>Catherine Sylvie Durand</v>
      </c>
      <c r="C10" s="11" t="str">
        <f>_xlfn.XLOOKUP(cleaned_names1[[#This Row],[proper name]], F$2:F$15, G$2:G$15, cleaned_names1[[#This Row],[proper name]])</f>
        <v>Catherine Sylvie Durand</v>
      </c>
      <c r="D10" s="11">
        <f>COUNTA(_xlfn.TEXTSPLIT(cleaned_names1[cleaned name], " "))</f>
        <v>3</v>
      </c>
      <c r="F10" t="s">
        <v>1037</v>
      </c>
      <c r="G10" t="s">
        <v>142</v>
      </c>
    </row>
    <row r="11" spans="1:7">
      <c r="A11" s="11" t="s">
        <v>302</v>
      </c>
      <c r="B11" s="11" t="str">
        <f>TRIM(PROPER(cleaned_names1[[#This Row],[name]]))</f>
        <v>Marcos Antônio Gomes</v>
      </c>
      <c r="C11" s="11" t="str">
        <f>_xlfn.XLOOKUP(cleaned_names1[[#This Row],[proper name]], F$2:F$15, G$2:G$15, cleaned_names1[[#This Row],[proper name]])</f>
        <v>Marcos Antônio Gomes</v>
      </c>
      <c r="D11" s="11">
        <f>COUNTA(_xlfn.TEXTSPLIT(cleaned_names1[cleaned name], " "))</f>
        <v>3</v>
      </c>
      <c r="F11" t="s">
        <v>1038</v>
      </c>
      <c r="G11" t="s">
        <v>147</v>
      </c>
    </row>
    <row r="12" spans="1:7">
      <c r="A12" s="11" t="s">
        <v>1039</v>
      </c>
      <c r="B12" s="11" t="str">
        <f>TRIM(PROPER(cleaned_names1[[#This Row],[name]]))</f>
        <v>María Carmen Carmen Pérez</v>
      </c>
      <c r="C12" s="11" t="str">
        <f>_xlfn.XLOOKUP(cleaned_names1[[#This Row],[proper name]], F$2:F$15, G$2:G$15, cleaned_names1[[#This Row],[proper name]])</f>
        <v>María Carmen Pérez</v>
      </c>
      <c r="D12" s="11">
        <f>COUNTA(_xlfn.TEXTSPLIT(cleaned_names1[cleaned name], " "))</f>
        <v>3</v>
      </c>
      <c r="F12" t="s">
        <v>1040</v>
      </c>
      <c r="G12" t="s">
        <v>162</v>
      </c>
    </row>
    <row r="13" spans="1:7">
      <c r="A13" s="11" t="s">
        <v>309</v>
      </c>
      <c r="B13" s="11" t="str">
        <f>TRIM(PROPER(cleaned_names1[[#This Row],[name]]))</f>
        <v>Luigi Vincenzo Colombo</v>
      </c>
      <c r="C13" s="11" t="str">
        <f>_xlfn.XLOOKUP(cleaned_names1[[#This Row],[proper name]], F$2:F$15, G$2:G$15, cleaned_names1[[#This Row],[proper name]])</f>
        <v>Luigi Vincenzo Colombo</v>
      </c>
      <c r="D13" s="11">
        <f>COUNTA(_xlfn.TEXTSPLIT(cleaned_names1[cleaned name], " "))</f>
        <v>3</v>
      </c>
      <c r="F13" t="s">
        <v>1041</v>
      </c>
      <c r="G13" t="s">
        <v>200</v>
      </c>
    </row>
    <row r="14" spans="1:7">
      <c r="A14" s="11" t="s">
        <v>313</v>
      </c>
      <c r="B14" s="11" t="str">
        <f>TRIM(PROPER(cleaned_names1[[#This Row],[name]]))</f>
        <v>Carlos Marcos Oliveira</v>
      </c>
      <c r="C14" s="11" t="str">
        <f>_xlfn.XLOOKUP(cleaned_names1[[#This Row],[proper name]], F$2:F$15, G$2:G$15, cleaned_names1[[#This Row],[proper name]])</f>
        <v>Carlos Marcos Oliveira</v>
      </c>
      <c r="D14" s="11">
        <f>COUNTA(_xlfn.TEXTSPLIT(cleaned_names1[cleaned name], " "))</f>
        <v>3</v>
      </c>
      <c r="F14" t="s">
        <v>1042</v>
      </c>
      <c r="G14" t="s">
        <v>200</v>
      </c>
    </row>
    <row r="15" spans="1:7">
      <c r="A15" s="11" t="s">
        <v>318</v>
      </c>
      <c r="B15" s="11" t="str">
        <f>TRIM(PROPER(cleaned_names1[[#This Row],[name]]))</f>
        <v>Peter Wolfgang Fischer</v>
      </c>
      <c r="C15" s="11" t="str">
        <f>_xlfn.XLOOKUP(cleaned_names1[[#This Row],[proper name]], F$2:F$15, G$2:G$15, cleaned_names1[[#This Row],[proper name]])</f>
        <v>Peter Wolfgang Fischer</v>
      </c>
      <c r="D15" s="11">
        <f>COUNTA(_xlfn.TEXTSPLIT(cleaned_names1[cleaned name], " "))</f>
        <v>3</v>
      </c>
      <c r="F15" t="s">
        <v>1043</v>
      </c>
      <c r="G15" t="s">
        <v>235</v>
      </c>
    </row>
    <row r="16" spans="1:7">
      <c r="A16" s="11" t="s">
        <v>320</v>
      </c>
      <c r="B16" s="11" t="str">
        <f>TRIM(PROPER(cleaned_names1[[#This Row],[name]]))</f>
        <v>Peter Klaus Becker</v>
      </c>
      <c r="C16" s="11" t="str">
        <f>_xlfn.XLOOKUP(cleaned_names1[[#This Row],[proper name]], F$2:F$15, G$2:G$15, cleaned_names1[[#This Row],[proper name]])</f>
        <v>Peter Klaus Becker</v>
      </c>
      <c r="D16" s="11">
        <f>COUNTA(_xlfn.TEXTSPLIT(cleaned_names1[cleaned name], " "))</f>
        <v>3</v>
      </c>
    </row>
    <row r="17" spans="1:4">
      <c r="A17" s="11" t="s">
        <v>322</v>
      </c>
      <c r="B17" s="11" t="str">
        <f>TRIM(PROPER(cleaned_names1[[#This Row],[name]]))</f>
        <v>Fang Juan Wang</v>
      </c>
      <c r="C17" s="11" t="str">
        <f>_xlfn.XLOOKUP(cleaned_names1[[#This Row],[proper name]], F$2:F$15, G$2:G$15, cleaned_names1[[#This Row],[proper name]])</f>
        <v>Fang Juan Wang</v>
      </c>
      <c r="D17" s="11">
        <f>COUNTA(_xlfn.TEXTSPLIT(cleaned_names1[cleaned name], " "))</f>
        <v>3</v>
      </c>
    </row>
    <row r="18" spans="1:4">
      <c r="A18" s="11" t="s">
        <v>325</v>
      </c>
      <c r="B18" s="11" t="str">
        <f>TRIM(PROPER(cleaned_names1[[#This Row],[name]]))</f>
        <v>Giuseppe Vincenzo Romano</v>
      </c>
      <c r="C18" s="11" t="str">
        <f>_xlfn.XLOOKUP(cleaned_names1[[#This Row],[proper name]], F$2:F$15, G$2:G$15, cleaned_names1[[#This Row],[proper name]])</f>
        <v>Giuseppe Vincenzo Romano</v>
      </c>
      <c r="D18" s="11">
        <f>COUNTA(_xlfn.TEXTSPLIT(cleaned_names1[cleaned name], " "))</f>
        <v>3</v>
      </c>
    </row>
    <row r="19" spans="1:4">
      <c r="A19" s="11" t="s">
        <v>328</v>
      </c>
      <c r="B19" s="11" t="str">
        <f>TRIM(PROPER(cleaned_names1[[#This Row],[name]]))</f>
        <v>Michael Christopher Rodriguez</v>
      </c>
      <c r="C19" s="11" t="str">
        <f>_xlfn.XLOOKUP(cleaned_names1[[#This Row],[proper name]], F$2:F$15, G$2:G$15, cleaned_names1[[#This Row],[proper name]])</f>
        <v>Michael Christopher Rodriguez</v>
      </c>
      <c r="D19" s="11">
        <f>COUNTA(_xlfn.TEXTSPLIT(cleaned_names1[cleaned name], " "))</f>
        <v>3</v>
      </c>
    </row>
    <row r="20" spans="1:4">
      <c r="A20" s="11" t="s">
        <v>331</v>
      </c>
      <c r="B20" s="11" t="str">
        <f>TRIM(PROPER(cleaned_names1[[#This Row],[name]]))</f>
        <v>Vincenzo Francesco Marino</v>
      </c>
      <c r="C20" s="11" t="str">
        <f>_xlfn.XLOOKUP(cleaned_names1[[#This Row],[proper name]], F$2:F$15, G$2:G$15, cleaned_names1[[#This Row],[proper name]])</f>
        <v>Vincenzo Francesco Marino</v>
      </c>
      <c r="D20" s="11">
        <f>COUNTA(_xlfn.TEXTSPLIT(cleaned_names1[cleaned name], " "))</f>
        <v>3</v>
      </c>
    </row>
    <row r="21" spans="1:4">
      <c r="A21" s="11" t="s">
        <v>335</v>
      </c>
      <c r="B21" s="11" t="str">
        <f>TRIM(PROPER(cleaned_names1[[#This Row],[name]]))</f>
        <v>Klaus Michael Wagner</v>
      </c>
      <c r="C21" s="11" t="str">
        <f>_xlfn.XLOOKUP(cleaned_names1[[#This Row],[proper name]], F$2:F$15, G$2:G$15, cleaned_names1[[#This Row],[proper name]])</f>
        <v>Klaus Michael Wagner</v>
      </c>
      <c r="D21" s="11">
        <f>COUNTA(_xlfn.TEXTSPLIT(cleaned_names1[cleaned name], " "))</f>
        <v>3</v>
      </c>
    </row>
    <row r="22" spans="1:4">
      <c r="A22" s="11" t="s">
        <v>339</v>
      </c>
      <c r="B22" s="11" t="str">
        <f>TRIM(PROPER(cleaned_names1[[#This Row],[name]]))</f>
        <v>Isabel Laura Pérez</v>
      </c>
      <c r="C22" s="11" t="str">
        <f>_xlfn.XLOOKUP(cleaned_names1[[#This Row],[proper name]], F$2:F$15, G$2:G$15, cleaned_names1[[#This Row],[proper name]])</f>
        <v>Isabel Laura Pérez</v>
      </c>
      <c r="D22" s="11">
        <f>COUNTA(_xlfn.TEXTSPLIT(cleaned_names1[cleaned name], " "))</f>
        <v>3</v>
      </c>
    </row>
    <row r="23" spans="1:4">
      <c r="A23" s="11" t="s">
        <v>1044</v>
      </c>
      <c r="B23" s="11" t="str">
        <f>TRIM(PROPER(cleaned_names1[[#This Row],[name]]))</f>
        <v>Thomas Robert Martinez</v>
      </c>
      <c r="C23" s="11" t="str">
        <f>_xlfn.XLOOKUP(cleaned_names1[[#This Row],[proper name]], F$2:F$15, G$2:G$15, cleaned_names1[[#This Row],[proper name]])</f>
        <v>Thomas Robert Martinez</v>
      </c>
      <c r="D23" s="11">
        <f>COUNTA(_xlfn.TEXTSPLIT(cleaned_names1[cleaned name], " "))</f>
        <v>3</v>
      </c>
    </row>
    <row r="24" spans="1:4">
      <c r="A24" s="11" t="s">
        <v>346</v>
      </c>
      <c r="B24" s="11" t="str">
        <f>TRIM(PROPER(cleaned_names1[[#This Row],[name]]))</f>
        <v>Aline Aline Souza</v>
      </c>
      <c r="C24" s="11" t="str">
        <f>_xlfn.XLOOKUP(cleaned_names1[[#This Row],[proper name]], F$2:F$15, G$2:G$15, cleaned_names1[[#This Row],[proper name]])</f>
        <v>Aline Aline Souza</v>
      </c>
      <c r="D24" s="11">
        <f>COUNTA(_xlfn.TEXTSPLIT(cleaned_names1[cleaned name], " "))</f>
        <v>3</v>
      </c>
    </row>
    <row r="25" spans="1:4">
      <c r="A25" s="11" t="s">
        <v>349</v>
      </c>
      <c r="B25" s="11" t="str">
        <f>TRIM(PROPER(cleaned_names1[[#This Row],[name]]))</f>
        <v>José Luis José Luis Rodríguez</v>
      </c>
      <c r="C25" s="11" t="str">
        <f>_xlfn.XLOOKUP(cleaned_names1[[#This Row],[proper name]], F$2:F$15, G$2:G$15, cleaned_names1[[#This Row],[proper name]])</f>
        <v>José Luis Rodríguez</v>
      </c>
      <c r="D25" s="11">
        <f>COUNTA(_xlfn.TEXTSPLIT(cleaned_names1[cleaned name], " "))</f>
        <v>3</v>
      </c>
    </row>
    <row r="26" spans="1:4">
      <c r="A26" s="11" t="s">
        <v>1045</v>
      </c>
      <c r="B26" s="11" t="str">
        <f>TRIM(PROPER(cleaned_names1[[#This Row],[name]]))</f>
        <v>Osamu Hiroshi Suzuki</v>
      </c>
      <c r="C26" s="11" t="str">
        <f>_xlfn.XLOOKUP(cleaned_names1[[#This Row],[proper name]], F$2:F$15, G$2:G$15, cleaned_names1[[#This Row],[proper name]])</f>
        <v>Osamu Hiroshi Suzuki</v>
      </c>
      <c r="D26" s="11">
        <f>COUNTA(_xlfn.TEXTSPLIT(cleaned_names1[cleaned name], " "))</f>
        <v>3</v>
      </c>
    </row>
    <row r="27" spans="1:4">
      <c r="A27" s="11" t="s">
        <v>1046</v>
      </c>
      <c r="B27" s="11" t="str">
        <f>TRIM(PROPER(cleaned_names1[[#This Row],[name]]))</f>
        <v>Jin Yang Liu</v>
      </c>
      <c r="C27" s="11" t="str">
        <f>_xlfn.XLOOKUP(cleaned_names1[[#This Row],[proper name]], F$2:F$15, G$2:G$15, cleaned_names1[[#This Row],[proper name]])</f>
        <v>Jin Yang Liu</v>
      </c>
      <c r="D27" s="11">
        <f>COUNTA(_xlfn.TEXTSPLIT(cleaned_names1[cleaned name], " "))</f>
        <v>3</v>
      </c>
    </row>
    <row r="28" spans="1:4">
      <c r="A28" s="11" t="s">
        <v>360</v>
      </c>
      <c r="B28" s="11" t="str">
        <f>TRIM(PROPER(cleaned_names1[[#This Row],[name]]))</f>
        <v>Michael Richard Smith</v>
      </c>
      <c r="C28" s="11" t="str">
        <f>_xlfn.XLOOKUP(cleaned_names1[[#This Row],[proper name]], F$2:F$15, G$2:G$15, cleaned_names1[[#This Row],[proper name]])</f>
        <v>Michael Richard Smith</v>
      </c>
      <c r="D28" s="11">
        <f>COUNTA(_xlfn.TEXTSPLIT(cleaned_names1[cleaned name], " "))</f>
        <v>3</v>
      </c>
    </row>
    <row r="29" spans="1:4">
      <c r="A29" s="11" t="s">
        <v>363</v>
      </c>
      <c r="B29" s="11" t="str">
        <f>TRIM(PROPER(cleaned_names1[[#This Row],[name]]))</f>
        <v>Marcos José Gomes</v>
      </c>
      <c r="C29" s="11" t="str">
        <f>_xlfn.XLOOKUP(cleaned_names1[[#This Row],[proper name]], F$2:F$15, G$2:G$15, cleaned_names1[[#This Row],[proper name]])</f>
        <v>Marcos José Gomes</v>
      </c>
      <c r="D29" s="11">
        <f>COUNTA(_xlfn.TEXTSPLIT(cleaned_names1[cleaned name], " "))</f>
        <v>3</v>
      </c>
    </row>
    <row r="30" spans="1:4">
      <c r="A30" s="11" t="s">
        <v>1047</v>
      </c>
      <c r="B30" s="11" t="str">
        <f>TRIM(PROPER(cleaned_names1[[#This Row],[name]]))</f>
        <v>Keiko Michiko Ito</v>
      </c>
      <c r="C30" s="11" t="str">
        <f>_xlfn.XLOOKUP(cleaned_names1[[#This Row],[proper name]], F$2:F$15, G$2:G$15, cleaned_names1[[#This Row],[proper name]])</f>
        <v>Keiko Michiko Ito</v>
      </c>
      <c r="D30" s="11">
        <f>COUNTA(_xlfn.TEXTSPLIT(cleaned_names1[cleaned name], " "))</f>
        <v>3</v>
      </c>
    </row>
    <row r="31" spans="1:4">
      <c r="A31" s="11" t="s">
        <v>1048</v>
      </c>
      <c r="B31" s="11" t="str">
        <f>TRIM(PROPER(cleaned_names1[[#This Row],[name]]))</f>
        <v>Jing Ping Li</v>
      </c>
      <c r="C31" s="11" t="str">
        <f>_xlfn.XLOOKUP(cleaned_names1[[#This Row],[proper name]], F$2:F$15, G$2:G$15, cleaned_names1[[#This Row],[proper name]])</f>
        <v>Jing Ping Li</v>
      </c>
      <c r="D31" s="11">
        <f>COUNTA(_xlfn.TEXTSPLIT(cleaned_names1[cleaned name], " "))</f>
        <v>3</v>
      </c>
    </row>
    <row r="32" spans="1:4">
      <c r="A32" s="11" t="s">
        <v>371</v>
      </c>
      <c r="B32" s="11" t="str">
        <f>TRIM(PROPER(cleaned_names1[[#This Row],[name]]))</f>
        <v>Jessic Alinda Brown</v>
      </c>
      <c r="C32" s="11" t="str">
        <f>_xlfn.XLOOKUP(cleaned_names1[[#This Row],[proper name]], F$2:F$15, G$2:G$15, cleaned_names1[[#This Row],[proper name]])</f>
        <v>Jessic Alinda Brown</v>
      </c>
      <c r="D32" s="11">
        <f>COUNTA(_xlfn.TEXTSPLIT(cleaned_names1[cleaned name], " "))</f>
        <v>3</v>
      </c>
    </row>
    <row r="33" spans="1:4">
      <c r="A33" s="11" t="s">
        <v>375</v>
      </c>
      <c r="B33" s="11" t="str">
        <f>TRIM(PROPER(cleaned_names1[[#This Row],[name]]))</f>
        <v>Monika Sabine Schneider</v>
      </c>
      <c r="C33" s="11" t="str">
        <f>_xlfn.XLOOKUP(cleaned_names1[[#This Row],[proper name]], F$2:F$15, G$2:G$15, cleaned_names1[[#This Row],[proper name]])</f>
        <v>Monika Sabine Schneider</v>
      </c>
      <c r="D33" s="11">
        <f>COUNTA(_xlfn.TEXTSPLIT(cleaned_names1[cleaned name], " "))</f>
        <v>3</v>
      </c>
    </row>
    <row r="34" spans="1:4">
      <c r="A34" s="11" t="s">
        <v>1049</v>
      </c>
      <c r="B34" s="11" t="str">
        <f>TRIM(PROPER(cleaned_names1[[#This Row],[name]]))</f>
        <v>Alain Nicolas Bernard</v>
      </c>
      <c r="C34" s="11" t="str">
        <f>_xlfn.XLOOKUP(cleaned_names1[[#This Row],[proper name]], F$2:F$15, G$2:G$15, cleaned_names1[[#This Row],[proper name]])</f>
        <v>Alain Nicolas Bernard</v>
      </c>
      <c r="D34" s="11">
        <f>COUNTA(_xlfn.TEXTSPLIT(cleaned_names1[cleaned name], " "))</f>
        <v>3</v>
      </c>
    </row>
    <row r="35" spans="1:4">
      <c r="A35" s="11" t="s">
        <v>380</v>
      </c>
      <c r="B35" s="11" t="str">
        <f>TRIM(PROPER(cleaned_names1[[#This Row],[name]]))</f>
        <v>Klaus Klaus Wagner</v>
      </c>
      <c r="C35" s="11" t="str">
        <f>_xlfn.XLOOKUP(cleaned_names1[[#This Row],[proper name]], F$2:F$15, G$2:G$15, cleaned_names1[[#This Row],[proper name]])</f>
        <v>Klaus Klaus Wagner</v>
      </c>
      <c r="D35" s="11">
        <f>COUNTA(_xlfn.TEXTSPLIT(cleaned_names1[cleaned name], " "))</f>
        <v>3</v>
      </c>
    </row>
    <row r="36" spans="1:4">
      <c r="A36" s="11" t="s">
        <v>381</v>
      </c>
      <c r="B36" s="11" t="str">
        <f>TRIM(PROPER(cleaned_names1[[#This Row],[name]]))</f>
        <v>Hans Wolfgang Weber</v>
      </c>
      <c r="C36" s="11" t="str">
        <f>_xlfn.XLOOKUP(cleaned_names1[[#This Row],[proper name]], F$2:F$15, G$2:G$15, cleaned_names1[[#This Row],[proper name]])</f>
        <v>Hans Wolfgang Weber</v>
      </c>
      <c r="D36" s="11">
        <f>COUNTA(_xlfn.TEXTSPLIT(cleaned_names1[cleaned name], " "))</f>
        <v>3</v>
      </c>
    </row>
    <row r="37" spans="1:4">
      <c r="A37" s="11" t="s">
        <v>384</v>
      </c>
      <c r="B37" s="11" t="str">
        <f>TRIM(PROPER(cleaned_names1[[#This Row],[name]]))</f>
        <v>Francesco Vincenzo Rossi</v>
      </c>
      <c r="C37" s="11" t="str">
        <f>_xlfn.XLOOKUP(cleaned_names1[[#This Row],[proper name]], F$2:F$15, G$2:G$15, cleaned_names1[[#This Row],[proper name]])</f>
        <v>Francesco Vincenzo Rossi</v>
      </c>
      <c r="D37" s="11">
        <f>COUNTA(_xlfn.TEXTSPLIT(cleaned_names1[cleaned name], " "))</f>
        <v>3</v>
      </c>
    </row>
    <row r="38" spans="1:4">
      <c r="A38" s="11" t="s">
        <v>387</v>
      </c>
      <c r="B38" s="11" t="str">
        <f>TRIM(PROPER(cleaned_names1[[#This Row],[name]]))</f>
        <v>Yoko Yoshiko Yamamoto</v>
      </c>
      <c r="C38" s="11" t="str">
        <f>_xlfn.XLOOKUP(cleaned_names1[[#This Row],[proper name]], F$2:F$15, G$2:G$15, cleaned_names1[[#This Row],[proper name]])</f>
        <v>Yoko Yoshiko Yamamoto</v>
      </c>
      <c r="D38" s="11">
        <f>COUNTA(_xlfn.TEXTSPLIT(cleaned_names1[cleaned name], " "))</f>
        <v>3</v>
      </c>
    </row>
    <row r="39" spans="1:4">
      <c r="A39" s="11" t="s">
        <v>1050</v>
      </c>
      <c r="B39" s="11" t="str">
        <f>TRIM(PROPER(cleaned_names1[[#This Row],[name]]))</f>
        <v>David Richard Garcia</v>
      </c>
      <c r="C39" s="11" t="str">
        <f>_xlfn.XLOOKUP(cleaned_names1[[#This Row],[proper name]], F$2:F$15, G$2:G$15, cleaned_names1[[#This Row],[proper name]])</f>
        <v>David Richard Garcia</v>
      </c>
      <c r="D39" s="11">
        <f>COUNTA(_xlfn.TEXTSPLIT(cleaned_names1[cleaned name], " "))</f>
        <v>3</v>
      </c>
    </row>
    <row r="40" spans="1:4">
      <c r="A40" s="11" t="s">
        <v>393</v>
      </c>
      <c r="B40" s="11" t="str">
        <f>TRIM(PROPER(cleaned_names1[[#This Row],[name]]))</f>
        <v>Christophe Alain Laurent</v>
      </c>
      <c r="C40" s="11" t="str">
        <f>_xlfn.XLOOKUP(cleaned_names1[[#This Row],[proper name]], F$2:F$15, G$2:G$15, cleaned_names1[[#This Row],[proper name]])</f>
        <v>Christophe Alain Laurent</v>
      </c>
      <c r="D40" s="11">
        <f>COUNTA(_xlfn.TEXTSPLIT(cleaned_names1[cleaned name], " "))</f>
        <v>3</v>
      </c>
    </row>
    <row r="41" spans="1:4">
      <c r="A41" s="11" t="s">
        <v>396</v>
      </c>
      <c r="B41" s="11" t="str">
        <f>TRIM(PROPER(cleaned_names1[[#This Row],[name]]))</f>
        <v>Michael John Martinez</v>
      </c>
      <c r="C41" s="11" t="str">
        <f>_xlfn.XLOOKUP(cleaned_names1[[#This Row],[proper name]], F$2:F$15, G$2:G$15, cleaned_names1[[#This Row],[proper name]])</f>
        <v>Michael John Martinez</v>
      </c>
      <c r="D41" s="11">
        <f>COUNTA(_xlfn.TEXTSPLIT(cleaned_names1[cleaned name], " "))</f>
        <v>3</v>
      </c>
    </row>
    <row r="42" spans="1:4">
      <c r="A42" s="11" t="s">
        <v>399</v>
      </c>
      <c r="B42" s="11" t="str">
        <f>TRIM(PROPER(cleaned_names1[[#This Row],[name]]))</f>
        <v>Maria Ursula Schulz</v>
      </c>
      <c r="C42" s="11" t="str">
        <f>_xlfn.XLOOKUP(cleaned_names1[[#This Row],[proper name]], F$2:F$15, G$2:G$15, cleaned_names1[[#This Row],[proper name]])</f>
        <v>Maria Ursula Schulz</v>
      </c>
      <c r="D42" s="11">
        <f>COUNTA(_xlfn.TEXTSPLIT(cleaned_names1[cleaned name], " "))</f>
        <v>3</v>
      </c>
    </row>
    <row r="43" spans="1:4">
      <c r="A43" s="11" t="s">
        <v>402</v>
      </c>
      <c r="B43" s="11" t="str">
        <f>TRIM(PROPER(cleaned_names1[[#This Row],[name]]))</f>
        <v>José Luiz Silva</v>
      </c>
      <c r="C43" s="11" t="str">
        <f>_xlfn.XLOOKUP(cleaned_names1[[#This Row],[proper name]], F$2:F$15, G$2:G$15, cleaned_names1[[#This Row],[proper name]])</f>
        <v>José Luiz Silva</v>
      </c>
      <c r="D43" s="11">
        <f>COUNTA(_xlfn.TEXTSPLIT(cleaned_names1[cleaned name], " "))</f>
        <v>3</v>
      </c>
    </row>
    <row r="44" spans="1:4">
      <c r="A44" s="11" t="s">
        <v>405</v>
      </c>
      <c r="B44" s="11" t="str">
        <f>TRIM(PROPER(cleaned_names1[[#This Row],[name]]))</f>
        <v>Giovanni Giuseppe Marino</v>
      </c>
      <c r="C44" s="11" t="str">
        <f>_xlfn.XLOOKUP(cleaned_names1[[#This Row],[proper name]], F$2:F$15, G$2:G$15, cleaned_names1[[#This Row],[proper name]])</f>
        <v>Giovanni Giuseppe Marino</v>
      </c>
      <c r="D44" s="11">
        <f>COUNTA(_xlfn.TEXTSPLIT(cleaned_names1[cleaned name], " "))</f>
        <v>3</v>
      </c>
    </row>
    <row r="45" spans="1:4">
      <c r="A45" s="11" t="s">
        <v>1051</v>
      </c>
      <c r="B45" s="11" t="str">
        <f>TRIM(PROPER(cleaned_names1[[#This Row],[name]]))</f>
        <v>Klaus Peter Schneider</v>
      </c>
      <c r="C45" s="11" t="str">
        <f>_xlfn.XLOOKUP(cleaned_names1[[#This Row],[proper name]], F$2:F$15, G$2:G$15, cleaned_names1[[#This Row],[proper name]])</f>
        <v>Klaus Peter Schneider</v>
      </c>
      <c r="D45" s="11">
        <f>COUNTA(_xlfn.TEXTSPLIT(cleaned_names1[cleaned name], " "))</f>
        <v>3</v>
      </c>
    </row>
    <row r="46" spans="1:4">
      <c r="A46" s="11" t="s">
        <v>1052</v>
      </c>
      <c r="B46" s="11" t="str">
        <f>TRIM(PROPER(cleaned_names1[[#This Row],[name]]))</f>
        <v>Yan Yan Zha G</v>
      </c>
      <c r="C46" s="11" t="str">
        <f>_xlfn.XLOOKUP(cleaned_names1[[#This Row],[proper name]], F$2:F$15, G$2:G$15, cleaned_names1[[#This Row],[proper name]])</f>
        <v>Yan Yan Zhag</v>
      </c>
      <c r="D46" s="11">
        <f>COUNTA(_xlfn.TEXTSPLIT(cleaned_names1[cleaned name], " "))</f>
        <v>3</v>
      </c>
    </row>
    <row r="47" spans="1:4">
      <c r="A47" s="11" t="s">
        <v>414</v>
      </c>
      <c r="B47" s="11" t="str">
        <f>TRIM(PROPER(cleaned_names1[[#This Row],[name]]))</f>
        <v>Christian Frank Schmidt</v>
      </c>
      <c r="C47" s="11" t="str">
        <f>_xlfn.XLOOKUP(cleaned_names1[[#This Row],[proper name]], F$2:F$15, G$2:G$15, cleaned_names1[[#This Row],[proper name]])</f>
        <v>Christian Frank Schmidt</v>
      </c>
      <c r="D47" s="11">
        <f>COUNTA(_xlfn.TEXTSPLIT(cleaned_names1[cleaned name], " "))</f>
        <v>3</v>
      </c>
    </row>
    <row r="48" spans="1:4">
      <c r="A48" s="11" t="s">
        <v>417</v>
      </c>
      <c r="B48" s="11" t="str">
        <f>TRIM(PROPER(cleaned_names1[[#This Row],[name]]))</f>
        <v>Manuel Francisco Sánchez</v>
      </c>
      <c r="C48" s="11" t="str">
        <f>_xlfn.XLOOKUP(cleaned_names1[[#This Row],[proper name]], F$2:F$15, G$2:G$15, cleaned_names1[[#This Row],[proper name]])</f>
        <v>Manuel Francisco Sánchez</v>
      </c>
      <c r="D48" s="11">
        <f>COUNTA(_xlfn.TEXTSPLIT(cleaned_names1[cleaned name], " "))</f>
        <v>3</v>
      </c>
    </row>
    <row r="49" spans="1:4">
      <c r="A49" s="11" t="s">
        <v>1053</v>
      </c>
      <c r="B49" s="11" t="str">
        <f>TRIM(PROPER(cleaned_names1[[#This Row],[name]]))</f>
        <v>Keiko Yoko Nakamura</v>
      </c>
      <c r="C49" s="11" t="str">
        <f>_xlfn.XLOOKUP(cleaned_names1[[#This Row],[proper name]], F$2:F$15, G$2:G$15, cleaned_names1[[#This Row],[proper name]])</f>
        <v>Keiko Yoko Nakamura</v>
      </c>
      <c r="D49" s="11">
        <f>COUNTA(_xlfn.TEXTSPLIT(cleaned_names1[cleaned name], " "))</f>
        <v>3</v>
      </c>
    </row>
    <row r="50" spans="1:4">
      <c r="A50" s="11" t="s">
        <v>423</v>
      </c>
      <c r="B50" s="11" t="str">
        <f>TRIM(PROPER(cleaned_names1[[#This Row],[name]]))</f>
        <v>Ju Nwei Liu</v>
      </c>
      <c r="C50" s="11" t="str">
        <f>_xlfn.XLOOKUP(cleaned_names1[[#This Row],[proper name]], F$2:F$15, G$2:G$15, cleaned_names1[[#This Row],[proper name]])</f>
        <v>Ju Nwei Liu</v>
      </c>
      <c r="D50" s="11">
        <f>COUNTA(_xlfn.TEXTSPLIT(cleaned_names1[cleaned name], " "))</f>
        <v>3</v>
      </c>
    </row>
    <row r="51" spans="1:4">
      <c r="A51" s="11" t="s">
        <v>426</v>
      </c>
      <c r="B51" s="11" t="str">
        <f>TRIM(PROPER(cleaned_names1[[#This Row],[name]]))</f>
        <v>Christian Frank Weber</v>
      </c>
      <c r="C51" s="11" t="str">
        <f>_xlfn.XLOOKUP(cleaned_names1[[#This Row],[proper name]], F$2:F$15, G$2:G$15, cleaned_names1[[#This Row],[proper name]])</f>
        <v>Christian Frank Weber</v>
      </c>
      <c r="D51" s="11">
        <f>COUNTA(_xlfn.TEXTSPLIT(cleaned_names1[cleaned name], " "))</f>
        <v>3</v>
      </c>
    </row>
    <row r="52" spans="1:4">
      <c r="A52" s="11" t="s">
        <v>429</v>
      </c>
      <c r="B52" s="11" t="str">
        <f>TRIM(PROPER(cleaned_names1[[#This Row],[name]]))</f>
        <v>Petra Ursula Wagner</v>
      </c>
      <c r="C52" s="11" t="str">
        <f>_xlfn.XLOOKUP(cleaned_names1[[#This Row],[proper name]], F$2:F$15, G$2:G$15, cleaned_names1[[#This Row],[proper name]])</f>
        <v>Petra Ursula Wagner</v>
      </c>
      <c r="D52" s="11">
        <f>COUNTA(_xlfn.TEXTSPLIT(cleaned_names1[cleaned name], " "))</f>
        <v>3</v>
      </c>
    </row>
    <row r="53" spans="1:4">
      <c r="A53" s="11" t="s">
        <v>432</v>
      </c>
      <c r="B53" s="11" t="str">
        <f>TRIM(PROPER(cleaned_names1[[#This Row],[name]]))</f>
        <v>Carmela Giovannar Icci</v>
      </c>
      <c r="C53" s="11" t="str">
        <f>_xlfn.XLOOKUP(cleaned_names1[[#This Row],[proper name]], F$2:F$15, G$2:G$15, cleaned_names1[[#This Row],[proper name]])</f>
        <v>Carmela Giovannar Icci</v>
      </c>
      <c r="D53" s="11">
        <f>COUNTA(_xlfn.TEXTSPLIT(cleaned_names1[cleaned name], " "))</f>
        <v>3</v>
      </c>
    </row>
    <row r="54" spans="1:4">
      <c r="A54" s="11" t="s">
        <v>435</v>
      </c>
      <c r="B54" s="11" t="str">
        <f>TRIM(PROPER(cleaned_names1[[#This Row],[name]]))</f>
        <v>Antônio João Alves</v>
      </c>
      <c r="C54" s="11" t="str">
        <f>_xlfn.XLOOKUP(cleaned_names1[[#This Row],[proper name]], F$2:F$15, G$2:G$15, cleaned_names1[[#This Row],[proper name]])</f>
        <v>Antônio João Alves</v>
      </c>
      <c r="D54" s="11">
        <f>COUNTA(_xlfn.TEXTSPLIT(cleaned_names1[cleaned name], " "))</f>
        <v>3</v>
      </c>
    </row>
    <row r="55" spans="1:4">
      <c r="A55" s="11" t="s">
        <v>438</v>
      </c>
      <c r="B55" s="11" t="str">
        <f>TRIM(PROPER(cleaned_names1[[#This Row],[name]]))</f>
        <v>Francisco Luiz Pereira</v>
      </c>
      <c r="C55" s="11" t="str">
        <f>_xlfn.XLOOKUP(cleaned_names1[[#This Row],[proper name]], F$2:F$15, G$2:G$15, cleaned_names1[[#This Row],[proper name]])</f>
        <v>Francisco Luiz Pereira</v>
      </c>
      <c r="D55" s="11">
        <f>COUNTA(_xlfn.TEXTSPLIT(cleaned_names1[cleaned name], " "))</f>
        <v>3</v>
      </c>
    </row>
    <row r="56" spans="1:4">
      <c r="A56" s="11" t="s">
        <v>441</v>
      </c>
      <c r="B56" s="11" t="str">
        <f>TRIM(PROPER(cleaned_names1[[#This Row],[name]]))</f>
        <v>Fernanda Maria Oliveira</v>
      </c>
      <c r="C56" s="11" t="str">
        <f>_xlfn.XLOOKUP(cleaned_names1[[#This Row],[proper name]], F$2:F$15, G$2:G$15, cleaned_names1[[#This Row],[proper name]])</f>
        <v>Fernanda Maria Oliveira</v>
      </c>
      <c r="D56" s="11">
        <f>COUNTA(_xlfn.TEXTSPLIT(cleaned_names1[cleaned name], " "))</f>
        <v>3</v>
      </c>
    </row>
    <row r="57" spans="1:4">
      <c r="A57" s="11" t="s">
        <v>444</v>
      </c>
      <c r="B57" s="11" t="str">
        <f>TRIM(PROPER(cleaned_names1[[#This Row],[name]]))</f>
        <v>Ling Yan Li</v>
      </c>
      <c r="C57" s="11" t="str">
        <f>_xlfn.XLOOKUP(cleaned_names1[[#This Row],[proper name]], F$2:F$15, G$2:G$15, cleaned_names1[[#This Row],[proper name]])</f>
        <v>Ling Yan Li</v>
      </c>
      <c r="D57" s="11">
        <f>COUNTA(_xlfn.TEXTSPLIT(cleaned_names1[cleaned name], " "))</f>
        <v>3</v>
      </c>
    </row>
    <row r="58" spans="1:4">
      <c r="A58" s="11" t="s">
        <v>447</v>
      </c>
      <c r="B58" s="11" t="str">
        <f>TRIM(PROPER(cleaned_names1[[#This Row],[name]]))</f>
        <v>María Dolores María Dolores López</v>
      </c>
      <c r="C58" s="11" t="str">
        <f>_xlfn.XLOOKUP(cleaned_names1[[#This Row],[proper name]], F$2:F$15, G$2:G$15, cleaned_names1[[#This Row],[proper name]])</f>
        <v>María Dolores López</v>
      </c>
      <c r="D58" s="11">
        <f>COUNTA(_xlfn.TEXTSPLIT(cleaned_names1[cleaned name], " "))</f>
        <v>3</v>
      </c>
    </row>
    <row r="59" spans="1:4">
      <c r="A59" s="11" t="s">
        <v>450</v>
      </c>
      <c r="B59" s="11" t="str">
        <f>TRIM(PROPER(cleaned_names1[[#This Row],[name]]))</f>
        <v>Giuseppina Giovanna Marino</v>
      </c>
      <c r="C59" s="11" t="str">
        <f>_xlfn.XLOOKUP(cleaned_names1[[#This Row],[proper name]], F$2:F$15, G$2:G$15, cleaned_names1[[#This Row],[proper name]])</f>
        <v>Giuseppina Giovanna Marino</v>
      </c>
      <c r="D59" s="11">
        <f>COUNTA(_xlfn.TEXTSPLIT(cleaned_names1[cleaned name], " "))</f>
        <v>3</v>
      </c>
    </row>
    <row r="60" spans="1:4">
      <c r="A60" s="11" t="s">
        <v>1054</v>
      </c>
      <c r="B60" s="11" t="str">
        <f>TRIM(PROPER(cleaned_names1[[#This Row],[name]]))</f>
        <v>Takashi Akira Nakamura</v>
      </c>
      <c r="C60" s="11" t="str">
        <f>_xlfn.XLOOKUP(cleaned_names1[[#This Row],[proper name]], F$2:F$15, G$2:G$15, cleaned_names1[[#This Row],[proper name]])</f>
        <v>Takashi Akira Nakamura</v>
      </c>
      <c r="D60" s="11">
        <f>COUNTA(_xlfn.TEXTSPLIT(cleaned_names1[cleaned name], " "))</f>
        <v>3</v>
      </c>
    </row>
    <row r="61" spans="1:4">
      <c r="A61" s="11" t="s">
        <v>1055</v>
      </c>
      <c r="B61" s="11" t="str">
        <f>TRIM(PROPER(cleaned_names1[[#This Row],[name]]))</f>
        <v>David Richard Martinez</v>
      </c>
      <c r="C61" s="11" t="str">
        <f>_xlfn.XLOOKUP(cleaned_names1[[#This Row],[proper name]], F$2:F$15, G$2:G$15, cleaned_names1[[#This Row],[proper name]])</f>
        <v>David Richard Martinez</v>
      </c>
      <c r="D61" s="11">
        <f>COUNTA(_xlfn.TEXTSPLIT(cleaned_names1[cleaned name], " "))</f>
        <v>3</v>
      </c>
    </row>
    <row r="62" spans="1:4">
      <c r="A62" s="11" t="s">
        <v>1056</v>
      </c>
      <c r="B62" s="11" t="str">
        <f>TRIM(PROPER(cleaned_names1[[#This Row],[name]]))</f>
        <v>Christopher Richard Johnson</v>
      </c>
      <c r="C62" s="11" t="str">
        <f>_xlfn.XLOOKUP(cleaned_names1[[#This Row],[proper name]], F$2:F$15, G$2:G$15, cleaned_names1[[#This Row],[proper name]])</f>
        <v>Christopher Richard Johnson</v>
      </c>
      <c r="D62" s="11">
        <f>COUNTA(_xlfn.TEXTSPLIT(cleaned_names1[cleaned name], " "))</f>
        <v>3</v>
      </c>
    </row>
    <row r="63" spans="1:4">
      <c r="A63" s="11" t="s">
        <v>1057</v>
      </c>
      <c r="B63" s="11" t="str">
        <f>TRIM(PROPER(cleaned_names1[[#This Row],[name]]))</f>
        <v>Andreas Wolfgang Hoffmann</v>
      </c>
      <c r="C63" s="11" t="str">
        <f>_xlfn.XLOOKUP(cleaned_names1[[#This Row],[proper name]], F$2:F$15, G$2:G$15, cleaned_names1[[#This Row],[proper name]])</f>
        <v>Andreas Wolfgang Hoffmann</v>
      </c>
      <c r="D63" s="11">
        <f>COUNTA(_xlfn.TEXTSPLIT(cleaned_names1[cleaned name], " "))</f>
        <v>3</v>
      </c>
    </row>
    <row r="64" spans="1:4">
      <c r="A64" s="11" t="s">
        <v>1058</v>
      </c>
      <c r="B64" s="11" t="str">
        <f>TRIM(PROPER(cleaned_names1[[#This Row],[name]]))</f>
        <v>Paulo Paulo Rodrigues</v>
      </c>
      <c r="C64" s="11" t="str">
        <f>_xlfn.XLOOKUP(cleaned_names1[[#This Row],[proper name]], F$2:F$15, G$2:G$15, cleaned_names1[[#This Row],[proper name]])</f>
        <v>Paulo Paulo Rodrigues</v>
      </c>
      <c r="D64" s="11">
        <f>COUNTA(_xlfn.TEXTSPLIT(cleaned_names1[cleaned name], " "))</f>
        <v>3</v>
      </c>
    </row>
    <row r="65" spans="1:4">
      <c r="A65" s="11" t="s">
        <v>469</v>
      </c>
      <c r="B65" s="11" t="str">
        <f>TRIM(PROPER(cleaned_names1[[#This Row],[name]]))</f>
        <v>Ursula Petra Schmidt</v>
      </c>
      <c r="C65" s="11" t="str">
        <f>_xlfn.XLOOKUP(cleaned_names1[[#This Row],[proper name]], F$2:F$15, G$2:G$15, cleaned_names1[[#This Row],[proper name]])</f>
        <v>Ursula Petra Schmidt</v>
      </c>
      <c r="D65" s="11">
        <f>COUNTA(_xlfn.TEXTSPLIT(cleaned_names1[cleaned name], " "))</f>
        <v>3</v>
      </c>
    </row>
    <row r="66" spans="1:4">
      <c r="A66" s="11" t="s">
        <v>472</v>
      </c>
      <c r="B66" s="11" t="str">
        <f>TRIM(PROPER(cleaned_names1[[#This Row],[name]]))</f>
        <v>Anna Rosa Greco</v>
      </c>
      <c r="C66" s="11" t="str">
        <f>_xlfn.XLOOKUP(cleaned_names1[[#This Row],[proper name]], F$2:F$15, G$2:G$15, cleaned_names1[[#This Row],[proper name]])</f>
        <v>Anna Rosa Greco</v>
      </c>
      <c r="D66" s="11">
        <f>COUNTA(_xlfn.TEXTSPLIT(cleaned_names1[cleaned name], " "))</f>
        <v>3</v>
      </c>
    </row>
    <row r="67" spans="1:4">
      <c r="A67" s="11" t="s">
        <v>475</v>
      </c>
      <c r="B67" s="11" t="str">
        <f>TRIM(PROPER(cleaned_names1[[#This Row],[name]]))</f>
        <v>Wililam Thomas Johnson</v>
      </c>
      <c r="C67" s="11" t="str">
        <f>_xlfn.XLOOKUP(cleaned_names1[[#This Row],[proper name]], F$2:F$15, G$2:G$15, cleaned_names1[[#This Row],[proper name]])</f>
        <v>Wililam Thomas Johnson</v>
      </c>
      <c r="D67" s="11">
        <f>COUNTA(_xlfn.TEXTSPLIT(cleaned_names1[cleaned name], " "))</f>
        <v>3</v>
      </c>
    </row>
    <row r="68" spans="1:4">
      <c r="A68" s="11" t="s">
        <v>1059</v>
      </c>
      <c r="B68" s="11" t="str">
        <f>TRIM(PROPER(cleaned_names1[[#This Row],[name]]))</f>
        <v>Manuel José Sánchez</v>
      </c>
      <c r="C68" s="11" t="str">
        <f>_xlfn.XLOOKUP(cleaned_names1[[#This Row],[proper name]], F$2:F$15, G$2:G$15, cleaned_names1[[#This Row],[proper name]])</f>
        <v>Manuel José Sánchez</v>
      </c>
      <c r="D68" s="11">
        <f>COUNTA(_xlfn.TEXTSPLIT(cleaned_names1[cleaned name], " "))</f>
        <v>3</v>
      </c>
    </row>
    <row r="69" spans="1:4">
      <c r="A69" s="11" t="s">
        <v>481</v>
      </c>
      <c r="B69" s="11" t="str">
        <f>TRIM(PROPER(cleaned_names1[[#This Row],[name]]))</f>
        <v>Fernanda Ana Lima</v>
      </c>
      <c r="C69" s="11" t="str">
        <f>_xlfn.XLOOKUP(cleaned_names1[[#This Row],[proper name]], F$2:F$15, G$2:G$15, cleaned_names1[[#This Row],[proper name]])</f>
        <v>Fernanda Ana Lima</v>
      </c>
      <c r="D69" s="11">
        <f>COUNTA(_xlfn.TEXTSPLIT(cleaned_names1[cleaned name], " "))</f>
        <v>3</v>
      </c>
    </row>
    <row r="70" spans="1:4">
      <c r="A70" s="11" t="s">
        <v>484</v>
      </c>
      <c r="B70" s="11" t="str">
        <f>TRIM(PROPER(cleaned_names1[[#This Row],[name]]))</f>
        <v>Catherine Martine Dubois</v>
      </c>
      <c r="C70" s="11" t="str">
        <f>_xlfn.XLOOKUP(cleaned_names1[[#This Row],[proper name]], F$2:F$15, G$2:G$15, cleaned_names1[[#This Row],[proper name]])</f>
        <v>Catherine Martine Dubois</v>
      </c>
      <c r="D70" s="11">
        <f>COUNTA(_xlfn.TEXTSPLIT(cleaned_names1[cleaned name], " "))</f>
        <v>3</v>
      </c>
    </row>
    <row r="71" spans="1:4">
      <c r="A71" s="11" t="s">
        <v>487</v>
      </c>
      <c r="B71" s="11" t="str">
        <f>TRIM(PROPER(cleaned_names1[[#This Row],[name]]))</f>
        <v>Giuseppe Marior Usso</v>
      </c>
      <c r="C71" s="11" t="str">
        <f>_xlfn.XLOOKUP(cleaned_names1[[#This Row],[proper name]], F$2:F$15, G$2:G$15, cleaned_names1[[#This Row],[proper name]])</f>
        <v>Giuseppe Marior Usso</v>
      </c>
      <c r="D71" s="11">
        <f>COUNTA(_xlfn.TEXTSPLIT(cleaned_names1[cleaned name], " "))</f>
        <v>3</v>
      </c>
    </row>
    <row r="72" spans="1:4">
      <c r="A72" s="11" t="s">
        <v>1060</v>
      </c>
      <c r="B72" s="11" t="str">
        <f>TRIM(PROPER(cleaned_names1[[#This Row],[name]]))</f>
        <v>María Dolores Teresa Garcia</v>
      </c>
      <c r="C72" s="11" t="str">
        <f>_xlfn.XLOOKUP(cleaned_names1[[#This Row],[proper name]], F$2:F$15, G$2:G$15, cleaned_names1[[#This Row],[proper name]])</f>
        <v>María Dolores Garcia</v>
      </c>
      <c r="D72" s="11">
        <f>COUNTA(_xlfn.TEXTSPLIT(cleaned_names1[cleaned name], " "))</f>
        <v>3</v>
      </c>
    </row>
    <row r="73" spans="1:4">
      <c r="A73" s="11" t="s">
        <v>1061</v>
      </c>
      <c r="B73" s="11" t="str">
        <f>TRIM(PROPER(cleaned_names1[[#This Row],[name]]))</f>
        <v>Laura Laura Sánchez</v>
      </c>
      <c r="C73" s="11" t="str">
        <f>_xlfn.XLOOKUP(cleaned_names1[[#This Row],[proper name]], F$2:F$15, G$2:G$15, cleaned_names1[[#This Row],[proper name]])</f>
        <v>Laura Laura Sánchez</v>
      </c>
      <c r="D73" s="11">
        <f>COUNTA(_xlfn.TEXTSPLIT(cleaned_names1[cleaned name], " "))</f>
        <v>3</v>
      </c>
    </row>
    <row r="74" spans="1:4">
      <c r="A74" s="11" t="s">
        <v>494</v>
      </c>
      <c r="B74" s="11" t="str">
        <f>TRIM(PROPER(cleaned_names1[[#This Row],[name]]))</f>
        <v>René Nicolas Thomas</v>
      </c>
      <c r="C74" s="11" t="str">
        <f>_xlfn.XLOOKUP(cleaned_names1[[#This Row],[proper name]], F$2:F$15, G$2:G$15, cleaned_names1[[#This Row],[proper name]])</f>
        <v>René Nicolas Thomas</v>
      </c>
      <c r="D74" s="11">
        <f>COUNTA(_xlfn.TEXTSPLIT(cleaned_names1[cleaned name], " "))</f>
        <v>3</v>
      </c>
    </row>
    <row r="75" spans="1:4">
      <c r="A75" s="11" t="s">
        <v>497</v>
      </c>
      <c r="B75" s="11" t="str">
        <f>TRIM(PROPER(cleaned_names1[[#This Row],[name]]))</f>
        <v>Angelo Angelo Marino</v>
      </c>
      <c r="C75" s="11" t="str">
        <f>_xlfn.XLOOKUP(cleaned_names1[[#This Row],[proper name]], F$2:F$15, G$2:G$15, cleaned_names1[[#This Row],[proper name]])</f>
        <v>Angelo Angelo Marino</v>
      </c>
      <c r="D75" s="11">
        <f>COUNTA(_xlfn.TEXTSPLIT(cleaned_names1[cleaned name], " "))</f>
        <v>3</v>
      </c>
    </row>
    <row r="76" spans="1:4">
      <c r="A76" s="11" t="s">
        <v>498</v>
      </c>
      <c r="B76" s="11" t="str">
        <f>TRIM(PROPER(cleaned_names1[[#This Row],[name]]))</f>
        <v>Lucia Caterina Russo</v>
      </c>
      <c r="C76" s="11" t="str">
        <f>_xlfn.XLOOKUP(cleaned_names1[[#This Row],[proper name]], F$2:F$15, G$2:G$15, cleaned_names1[[#This Row],[proper name]])</f>
        <v>Lucia Caterina Russo</v>
      </c>
      <c r="D76" s="11">
        <f>COUNTA(_xlfn.TEXTSPLIT(cleaned_names1[cleaned name], " "))</f>
        <v>3</v>
      </c>
    </row>
    <row r="77" spans="1:4">
      <c r="A77" s="11" t="s">
        <v>501</v>
      </c>
      <c r="B77" s="11" t="str">
        <f>TRIM(PROPER(cleaned_names1[[#This Row],[name]]))</f>
        <v>Mary Mary Smith</v>
      </c>
      <c r="C77" s="11" t="str">
        <f>_xlfn.XLOOKUP(cleaned_names1[[#This Row],[proper name]], F$2:F$15, G$2:G$15, cleaned_names1[[#This Row],[proper name]])</f>
        <v>Mary Mary Smith</v>
      </c>
      <c r="D77" s="11">
        <f>COUNTA(_xlfn.TEXTSPLIT(cleaned_names1[cleaned name], " "))</f>
        <v>3</v>
      </c>
    </row>
    <row r="78" spans="1:4">
      <c r="A78" s="11" t="s">
        <v>504</v>
      </c>
      <c r="B78" s="11" t="str">
        <f>TRIM(PROPER(cleaned_names1[[#This Row],[name]]))</f>
        <v>Fang Ling Liu</v>
      </c>
      <c r="C78" s="11" t="str">
        <f>_xlfn.XLOOKUP(cleaned_names1[[#This Row],[proper name]], F$2:F$15, G$2:G$15, cleaned_names1[[#This Row],[proper name]])</f>
        <v>Fang Ling Liu</v>
      </c>
      <c r="D78" s="11">
        <f>COUNTA(_xlfn.TEXTSPLIT(cleaned_names1[cleaned name], " "))</f>
        <v>3</v>
      </c>
    </row>
    <row r="79" spans="1:4">
      <c r="A79" s="11" t="s">
        <v>1062</v>
      </c>
      <c r="B79" s="11" t="str">
        <f>TRIM(PROPER(cleaned_names1[[#This Row],[name]]))</f>
        <v>Nathalie Monique Robert</v>
      </c>
      <c r="C79" s="11" t="str">
        <f>_xlfn.XLOOKUP(cleaned_names1[[#This Row],[proper name]], F$2:F$15, G$2:G$15, cleaned_names1[[#This Row],[proper name]])</f>
        <v>Nathalie Monique Robert</v>
      </c>
      <c r="D79" s="11">
        <f>COUNTA(_xlfn.TEXTSPLIT(cleaned_names1[cleaned name], " "))</f>
        <v>3</v>
      </c>
    </row>
    <row r="80" spans="1:4">
      <c r="A80" s="11" t="s">
        <v>510</v>
      </c>
      <c r="B80" s="11" t="str">
        <f>TRIM(PROPER(cleaned_names1[[#This Row],[name]]))</f>
        <v>Rosa Giuseppina Rossi</v>
      </c>
      <c r="C80" s="11" t="str">
        <f>_xlfn.XLOOKUP(cleaned_names1[[#This Row],[proper name]], F$2:F$15, G$2:G$15, cleaned_names1[[#This Row],[proper name]])</f>
        <v>Rosa Giuseppina Rossi</v>
      </c>
      <c r="D80" s="11">
        <f>COUNTA(_xlfn.TEXTSPLIT(cleaned_names1[cleaned name], " "))</f>
        <v>3</v>
      </c>
    </row>
    <row r="81" spans="1:4">
      <c r="A81" s="11" t="s">
        <v>1063</v>
      </c>
      <c r="B81" s="11" t="str">
        <f>TRIM(PROPER(cleaned_names1[[#This Row],[name]]))</f>
        <v>Yoshiko Tomoko Nakamura</v>
      </c>
      <c r="C81" s="11" t="str">
        <f>_xlfn.XLOOKUP(cleaned_names1[[#This Row],[proper name]], F$2:F$15, G$2:G$15, cleaned_names1[[#This Row],[proper name]])</f>
        <v>Yoshiko Tomoko Nakamura</v>
      </c>
      <c r="D81" s="11">
        <f>COUNTA(_xlfn.TEXTSPLIT(cleaned_names1[cleaned name], " "))</f>
        <v>3</v>
      </c>
    </row>
    <row r="82" spans="1:4">
      <c r="A82" s="11" t="s">
        <v>1064</v>
      </c>
      <c r="B82" s="11" t="str">
        <f>TRIM(PROPER(cleaned_names1[[#This Row],[name]]))</f>
        <v>Antônio Marcos Silva</v>
      </c>
      <c r="C82" s="11" t="str">
        <f>_xlfn.XLOOKUP(cleaned_names1[[#This Row],[proper name]], F$2:F$15, G$2:G$15, cleaned_names1[[#This Row],[proper name]])</f>
        <v>Antônio Marcos Silva</v>
      </c>
      <c r="D82" s="11">
        <f>COUNTA(_xlfn.TEXTSPLIT(cleaned_names1[cleaned name], " "))</f>
        <v>3</v>
      </c>
    </row>
    <row r="83" spans="1:4">
      <c r="A83" s="11" t="s">
        <v>518</v>
      </c>
      <c r="B83" s="11" t="str">
        <f>TRIM(PROPER(cleaned_names1[[#This Row],[name]]))</f>
        <v>Michiko Yoshiko Kobayashi</v>
      </c>
      <c r="C83" s="11" t="str">
        <f>_xlfn.XLOOKUP(cleaned_names1[[#This Row],[proper name]], F$2:F$15, G$2:G$15, cleaned_names1[[#This Row],[proper name]])</f>
        <v>Michiko Yoshiko Kobayashi</v>
      </c>
      <c r="D83" s="11">
        <f>COUNTA(_xlfn.TEXTSPLIT(cleaned_names1[cleaned name], " "))</f>
        <v>3</v>
      </c>
    </row>
    <row r="84" spans="1:4">
      <c r="A84" s="11" t="s">
        <v>521</v>
      </c>
      <c r="B84" s="11" t="str">
        <f>TRIM(PROPER(cleaned_names1[[#This Row],[name]]))</f>
        <v>Maria Teresa Ricci</v>
      </c>
      <c r="C84" s="11" t="str">
        <f>_xlfn.XLOOKUP(cleaned_names1[[#This Row],[proper name]], F$2:F$15, G$2:G$15, cleaned_names1[[#This Row],[proper name]])</f>
        <v>Maria Teresa Ricci</v>
      </c>
      <c r="D84" s="11">
        <f>COUNTA(_xlfn.TEXTSPLIT(cleaned_names1[cleaned name], " "))</f>
        <v>3</v>
      </c>
    </row>
    <row r="85" spans="1:4">
      <c r="A85" s="11" t="s">
        <v>525</v>
      </c>
      <c r="B85" s="11" t="str">
        <f>TRIM(PROPER(cleaned_names1[[#This Row],[name]]))</f>
        <v>Ana María Carmen Sánchez</v>
      </c>
      <c r="C85" s="11" t="str">
        <f>_xlfn.XLOOKUP(cleaned_names1[[#This Row],[proper name]], F$2:F$15, G$2:G$15, cleaned_names1[[#This Row],[proper name]])</f>
        <v>Ana María Sánchez</v>
      </c>
      <c r="D85" s="11">
        <f>COUNTA(_xlfn.TEXTSPLIT(cleaned_names1[cleaned name], " "))</f>
        <v>3</v>
      </c>
    </row>
    <row r="86" spans="1:4">
      <c r="A86" s="11" t="s">
        <v>1065</v>
      </c>
      <c r="B86" s="11" t="str">
        <f>TRIM(PROPER(cleaned_names1[[#This Row],[name]]))</f>
        <v>Ángel Javier Martínez</v>
      </c>
      <c r="C86" s="11" t="str">
        <f>_xlfn.XLOOKUP(cleaned_names1[[#This Row],[proper name]], F$2:F$15, G$2:G$15, cleaned_names1[[#This Row],[proper name]])</f>
        <v>Ángel Javier Martínez</v>
      </c>
      <c r="D86" s="11">
        <f>COUNTA(_xlfn.TEXTSPLIT(cleaned_names1[cleaned name], " "))</f>
        <v>3</v>
      </c>
    </row>
    <row r="87" spans="1:4">
      <c r="A87" s="11" t="s">
        <v>532</v>
      </c>
      <c r="B87" s="11" t="str">
        <f>TRIM(PROPER(cleaned_names1[[#This Row],[name]]))</f>
        <v>Louis André Petit</v>
      </c>
      <c r="C87" s="11" t="str">
        <f>_xlfn.XLOOKUP(cleaned_names1[[#This Row],[proper name]], F$2:F$15, G$2:G$15, cleaned_names1[[#This Row],[proper name]])</f>
        <v>Louis André Petit</v>
      </c>
      <c r="D87" s="11">
        <f>COUNTA(_xlfn.TEXTSPLIT(cleaned_names1[cleaned name], " "))</f>
        <v>3</v>
      </c>
    </row>
    <row r="88" spans="1:4">
      <c r="A88" s="11" t="s">
        <v>536</v>
      </c>
      <c r="B88" s="11" t="str">
        <f>TRIM(PROPER(cleaned_names1[[#This Row],[name]]))</f>
        <v>Frank Frank Fischer</v>
      </c>
      <c r="C88" s="11" t="str">
        <f>_xlfn.XLOOKUP(cleaned_names1[[#This Row],[proper name]], F$2:F$15, G$2:G$15, cleaned_names1[[#This Row],[proper name]])</f>
        <v>Frank Frank Fischer</v>
      </c>
      <c r="D88" s="11">
        <f>COUNTA(_xlfn.TEXTSPLIT(cleaned_names1[cleaned name], " "))</f>
        <v>3</v>
      </c>
    </row>
    <row r="89" spans="1:4">
      <c r="A89" s="11" t="s">
        <v>538</v>
      </c>
      <c r="B89" s="11" t="str">
        <f>TRIM(PROPER(cleaned_names1[[#This Row],[name]]))</f>
        <v>Pierre Michel Durand</v>
      </c>
      <c r="C89" s="11" t="str">
        <f>_xlfn.XLOOKUP(cleaned_names1[[#This Row],[proper name]], F$2:F$15, G$2:G$15, cleaned_names1[[#This Row],[proper name]])</f>
        <v>Pierre Michel Durand</v>
      </c>
      <c r="D89" s="11">
        <f>COUNTA(_xlfn.TEXTSPLIT(cleaned_names1[cleaned name], " "))</f>
        <v>3</v>
      </c>
    </row>
    <row r="90" spans="1:4">
      <c r="A90" s="11" t="s">
        <v>1066</v>
      </c>
      <c r="B90" s="11" t="str">
        <f>TRIM(PROPER(cleaned_names1[[#This Row],[name]]))</f>
        <v>Isabelle Nathalie Dubois</v>
      </c>
      <c r="C90" s="11" t="str">
        <f>_xlfn.XLOOKUP(cleaned_names1[[#This Row],[proper name]], F$2:F$15, G$2:G$15, cleaned_names1[[#This Row],[proper name]])</f>
        <v>Isabelle Nathalie Dubois</v>
      </c>
      <c r="D90" s="11">
        <f>COUNTA(_xlfn.TEXTSPLIT(cleaned_names1[cleaned name], " "))</f>
        <v>3</v>
      </c>
    </row>
    <row r="91" spans="1:4">
      <c r="A91" s="11" t="s">
        <v>1067</v>
      </c>
      <c r="B91" s="11" t="str">
        <f>TRIM(PROPER(cleaned_names1[[#This Row],[name]]))</f>
        <v>Laura Maria Carmen Rodríguez</v>
      </c>
      <c r="C91" s="11" t="str">
        <f>_xlfn.XLOOKUP(cleaned_names1[[#This Row],[proper name]], F$2:F$15, G$2:G$15, cleaned_names1[[#This Row],[proper name]])</f>
        <v>Laura Maria Rodríguez</v>
      </c>
      <c r="D91" s="11">
        <f>COUNTA(_xlfn.TEXTSPLIT(cleaned_names1[cleaned name], " "))</f>
        <v>3</v>
      </c>
    </row>
    <row r="92" spans="1:4">
      <c r="A92" s="11" t="s">
        <v>1068</v>
      </c>
      <c r="B92" s="11" t="str">
        <f>TRIM(PROPER(cleaned_names1[[#This Row],[name]]))</f>
        <v>Nicolas Philippe Robert</v>
      </c>
      <c r="C92" s="11" t="str">
        <f>_xlfn.XLOOKUP(cleaned_names1[[#This Row],[proper name]], F$2:F$15, G$2:G$15, cleaned_names1[[#This Row],[proper name]])</f>
        <v>Nicolas Philippe Robert</v>
      </c>
      <c r="D92" s="11">
        <f>COUNTA(_xlfn.TEXTSPLIT(cleaned_names1[cleaned name], " "))</f>
        <v>3</v>
      </c>
    </row>
    <row r="93" spans="1:4">
      <c r="A93" s="11" t="s">
        <v>1069</v>
      </c>
      <c r="B93" s="11" t="str">
        <f>TRIM(PROPER(cleaned_names1[[#This Row],[name]]))</f>
        <v>Li Jing Wang</v>
      </c>
      <c r="C93" s="11" t="str">
        <f>_xlfn.XLOOKUP(cleaned_names1[[#This Row],[proper name]], F$2:F$15, G$2:G$15, cleaned_names1[[#This Row],[proper name]])</f>
        <v>Li Jing Wang</v>
      </c>
      <c r="D93" s="11">
        <f>COUNTA(_xlfn.TEXTSPLIT(cleaned_names1[cleaned name], " "))</f>
        <v>3</v>
      </c>
    </row>
    <row r="94" spans="1:4">
      <c r="A94" s="11" t="s">
        <v>1070</v>
      </c>
      <c r="B94" s="11" t="str">
        <f>TRIM(PROPER(cleaned_names1[[#This Row],[name]]))</f>
        <v>Vincenzo Vincenzo Esposito</v>
      </c>
      <c r="C94" s="11" t="str">
        <f>_xlfn.XLOOKUP(cleaned_names1[[#This Row],[proper name]], F$2:F$15, G$2:G$15, cleaned_names1[[#This Row],[proper name]])</f>
        <v>Vincenzo Vincenzo Esposito</v>
      </c>
      <c r="D94" s="11">
        <f>COUNTA(_xlfn.TEXTSPLIT(cleaned_names1[cleaned name], " "))</f>
        <v>3</v>
      </c>
    </row>
    <row r="95" spans="1:4">
      <c r="A95" s="11" t="s">
        <v>1071</v>
      </c>
      <c r="B95" s="11" t="str">
        <f>TRIM(PROPER(cleaned_names1[[#This Row],[name]]))</f>
        <v>Nathalie Monique Dubois</v>
      </c>
      <c r="C95" s="11" t="str">
        <f>_xlfn.XLOOKUP(cleaned_names1[[#This Row],[proper name]], F$2:F$15, G$2:G$15, cleaned_names1[[#This Row],[proper name]])</f>
        <v>Nathalie Monique Dubois</v>
      </c>
      <c r="D95" s="11">
        <f>COUNTA(_xlfn.TEXTSPLIT(cleaned_names1[cleaned name], " "))</f>
        <v>3</v>
      </c>
    </row>
    <row r="96" spans="1:4">
      <c r="A96" s="11" t="s">
        <v>1072</v>
      </c>
      <c r="B96" s="11" t="str">
        <f>TRIM(PROPER(cleaned_names1[[#This Row],[name]]))</f>
        <v>Sarah Mary Garcia</v>
      </c>
      <c r="C96" s="11" t="str">
        <f>_xlfn.XLOOKUP(cleaned_names1[[#This Row],[proper name]], F$2:F$15, G$2:G$15, cleaned_names1[[#This Row],[proper name]])</f>
        <v>Sarah Mary Garcia</v>
      </c>
      <c r="D96" s="11">
        <f>COUNTA(_xlfn.TEXTSPLIT(cleaned_names1[cleaned name], " "))</f>
        <v>3</v>
      </c>
    </row>
    <row r="97" spans="1:4">
      <c r="A97" s="11" t="s">
        <v>1073</v>
      </c>
      <c r="B97" s="11" t="str">
        <f>TRIM(PROPER(cleaned_names1[[#This Row],[name]]))</f>
        <v>Yan Yan Huang</v>
      </c>
      <c r="C97" s="11" t="str">
        <f>_xlfn.XLOOKUP(cleaned_names1[[#This Row],[proper name]], F$2:F$15, G$2:G$15, cleaned_names1[[#This Row],[proper name]])</f>
        <v>Yan Yan Huang</v>
      </c>
      <c r="D97" s="11">
        <f>COUNTA(_xlfn.TEXTSPLIT(cleaned_names1[cleaned name], " "))</f>
        <v>3</v>
      </c>
    </row>
    <row r="98" spans="1:4">
      <c r="A98" s="11" t="s">
        <v>1074</v>
      </c>
      <c r="B98" s="11" t="str">
        <f>TRIM(PROPER(cleaned_names1[[#This Row],[name]]))</f>
        <v>Adriana Maria Rodrigues</v>
      </c>
      <c r="C98" s="11" t="str">
        <f>_xlfn.XLOOKUP(cleaned_names1[[#This Row],[proper name]], F$2:F$15, G$2:G$15, cleaned_names1[[#This Row],[proper name]])</f>
        <v>Adriana Maria Rodrigues</v>
      </c>
      <c r="D98" s="11">
        <f>COUNTA(_xlfn.TEXTSPLIT(cleaned_names1[cleaned name], " "))</f>
        <v>3</v>
      </c>
    </row>
    <row r="99" spans="1:4">
      <c r="A99" s="11" t="s">
        <v>571</v>
      </c>
      <c r="B99" s="11" t="str">
        <f>TRIM(PROPER(cleaned_names1[[#This Row],[name]]))</f>
        <v>Javier David López</v>
      </c>
      <c r="C99" s="11" t="str">
        <f>_xlfn.XLOOKUP(cleaned_names1[[#This Row],[proper name]], F$2:F$15, G$2:G$15, cleaned_names1[[#This Row],[proper name]])</f>
        <v>Javier David López</v>
      </c>
      <c r="D99" s="11">
        <f>COUNTA(_xlfn.TEXTSPLIT(cleaned_names1[cleaned name], " "))</f>
        <v>3</v>
      </c>
    </row>
    <row r="100" spans="1:4">
      <c r="A100" s="11" t="s">
        <v>574</v>
      </c>
      <c r="B100" s="11" t="str">
        <f>TRIM(PROPER(cleaned_names1[[#This Row],[name]]))</f>
        <v>Carmela Rosa Greco</v>
      </c>
      <c r="C100" s="11" t="str">
        <f>_xlfn.XLOOKUP(cleaned_names1[[#This Row],[proper name]], F$2:F$15, G$2:G$15, cleaned_names1[[#This Row],[proper name]])</f>
        <v>Carmela Rosa Greco</v>
      </c>
      <c r="D100" s="11">
        <f>COUNTA(_xlfn.TEXTSPLIT(cleaned_names1[cleaned name], " "))</f>
        <v>3</v>
      </c>
    </row>
    <row r="101" spans="1:4">
      <c r="A101" s="11" t="s">
        <v>578</v>
      </c>
      <c r="B101" s="11" t="str">
        <f>TRIM(PROPER(cleaned_names1[[#This Row],[name]]))</f>
        <v>Ping Min Zhao</v>
      </c>
      <c r="C101" s="11" t="str">
        <f>_xlfn.XLOOKUP(cleaned_names1[[#This Row],[proper name]], F$2:F$15, G$2:G$15, cleaned_names1[[#This Row],[proper name]])</f>
        <v>Ping Min Zhao</v>
      </c>
      <c r="D101" s="11">
        <f>COUNTA(_xlfn.TEXTSPLIT(cleaned_names1[cleaned name], " "))</f>
        <v>3</v>
      </c>
    </row>
    <row r="102" spans="1:4">
      <c r="A102" s="11" t="s">
        <v>581</v>
      </c>
      <c r="B102" s="11" t="str">
        <f>TRIM(PROPER(cleaned_names1[[#This Row],[name]]))</f>
        <v>Yan Fang Li</v>
      </c>
      <c r="C102" s="11" t="str">
        <f>_xlfn.XLOOKUP(cleaned_names1[[#This Row],[proper name]], F$2:F$15, G$2:G$15, cleaned_names1[[#This Row],[proper name]])</f>
        <v>Yan Fang Li</v>
      </c>
      <c r="D102" s="11">
        <f>COUNTA(_xlfn.TEXTSPLIT(cleaned_names1[cleaned name], " "))</f>
        <v>3</v>
      </c>
    </row>
    <row r="103" spans="1:4">
      <c r="A103" s="11" t="s">
        <v>1075</v>
      </c>
      <c r="B103" s="11" t="str">
        <f>TRIM(PROPER(cleaned_names1[[#This Row],[name]]))</f>
        <v>David David Fernández</v>
      </c>
      <c r="C103" s="11" t="str">
        <f>_xlfn.XLOOKUP(cleaned_names1[[#This Row],[proper name]], F$2:F$15, G$2:G$15, cleaned_names1[[#This Row],[proper name]])</f>
        <v>David David Fernández</v>
      </c>
      <c r="D103" s="11">
        <f>COUNTA(_xlfn.TEXTSPLIT(cleaned_names1[cleaned name], " "))</f>
        <v>3</v>
      </c>
    </row>
    <row r="104" spans="1:4">
      <c r="A104" s="11" t="s">
        <v>1076</v>
      </c>
      <c r="B104" s="11" t="str">
        <f>TRIM(PROPER(cleaned_names1[[#This Row],[name]]))</f>
        <v>Giuseppe Giuseppe Esposito</v>
      </c>
      <c r="C104" s="11" t="str">
        <f>_xlfn.XLOOKUP(cleaned_names1[[#This Row],[proper name]], F$2:F$15, G$2:G$15, cleaned_names1[[#This Row],[proper name]])</f>
        <v>Giuseppe Giuseppe Esposito</v>
      </c>
      <c r="D104" s="11">
        <f>COUNTA(_xlfn.TEXTSPLIT(cleaned_names1[cleaned name], " "))</f>
        <v>3</v>
      </c>
    </row>
    <row r="105" spans="1:4">
      <c r="A105" s="11" t="s">
        <v>1077</v>
      </c>
      <c r="B105" s="11" t="str">
        <f>TRIM(PROPER(cleaned_names1[[#This Row],[name]]))</f>
        <v>José David Onzález</v>
      </c>
      <c r="C105" s="11" t="str">
        <f>_xlfn.XLOOKUP(cleaned_names1[[#This Row],[proper name]], F$2:F$15, G$2:G$15, cleaned_names1[[#This Row],[proper name]])</f>
        <v>José David Onzález</v>
      </c>
      <c r="D105" s="11">
        <f>COUNTA(_xlfn.TEXTSPLIT(cleaned_names1[cleaned name], " "))</f>
        <v>3</v>
      </c>
    </row>
    <row r="106" spans="1:4">
      <c r="A106" s="11" t="s">
        <v>1078</v>
      </c>
      <c r="B106" s="11" t="str">
        <f>TRIM(PROPER(cleaned_names1[[#This Row],[name]]))</f>
        <v>Juan Manuel Rodríguez</v>
      </c>
      <c r="C106" s="11" t="str">
        <f>_xlfn.XLOOKUP(cleaned_names1[[#This Row],[proper name]], F$2:F$15, G$2:G$15, cleaned_names1[[#This Row],[proper name]])</f>
        <v>Juan Manuel Rodríguez</v>
      </c>
      <c r="D106" s="11">
        <f>COUNTA(_xlfn.TEXTSPLIT(cleaned_names1[cleaned name], " "))</f>
        <v>3</v>
      </c>
    </row>
    <row r="107" spans="1:4">
      <c r="A107" s="11" t="s">
        <v>1079</v>
      </c>
      <c r="B107" s="11" t="str">
        <f>TRIM(PROPER(cleaned_names1[[#This Row],[name]]))</f>
        <v>Sandrine Sylvie Moreau</v>
      </c>
      <c r="C107" s="11" t="str">
        <f>_xlfn.XLOOKUP(cleaned_names1[[#This Row],[proper name]], F$2:F$15, G$2:G$15, cleaned_names1[[#This Row],[proper name]])</f>
        <v>Sandrine Sylvie Moreau</v>
      </c>
      <c r="D107" s="11">
        <f>COUNTA(_xlfn.TEXTSPLIT(cleaned_names1[cleaned name], " "))</f>
        <v>3</v>
      </c>
    </row>
    <row r="108" spans="1:4">
      <c r="A108" s="11" t="s">
        <v>601</v>
      </c>
      <c r="B108" s="11" t="str">
        <f>TRIM(PROPER(cleaned_names1[[#This Row],[name]]))</f>
        <v>Fang Lan Wang</v>
      </c>
      <c r="C108" s="11" t="str">
        <f>_xlfn.XLOOKUP(cleaned_names1[[#This Row],[proper name]], F$2:F$15, G$2:G$15, cleaned_names1[[#This Row],[proper name]])</f>
        <v>Fang Lan Wang</v>
      </c>
      <c r="D108" s="11">
        <f>COUNTA(_xlfn.TEXTSPLIT(cleaned_names1[cleaned name], " "))</f>
        <v>3</v>
      </c>
    </row>
    <row r="109" spans="1:4">
      <c r="A109" s="11" t="s">
        <v>604</v>
      </c>
      <c r="B109" s="11" t="str">
        <f>TRIM(PROPER(cleaned_names1[[#This Row],[name]]))</f>
        <v>Nathalie Sylvie Martin</v>
      </c>
      <c r="C109" s="11" t="str">
        <f>_xlfn.XLOOKUP(cleaned_names1[[#This Row],[proper name]], F$2:F$15, G$2:G$15, cleaned_names1[[#This Row],[proper name]])</f>
        <v>Nathalie Sylvie Martin</v>
      </c>
      <c r="D109" s="11">
        <f>COUNTA(_xlfn.TEXTSPLIT(cleaned_names1[cleaned name], " "))</f>
        <v>3</v>
      </c>
    </row>
    <row r="110" spans="1:4">
      <c r="A110" s="11" t="s">
        <v>607</v>
      </c>
      <c r="B110" s="11" t="str">
        <f>TRIM(PROPER(cleaned_names1[[#This Row],[name]]))</f>
        <v>Rosa Maria Colombo</v>
      </c>
      <c r="C110" s="11" t="str">
        <f>_xlfn.XLOOKUP(cleaned_names1[[#This Row],[proper name]], F$2:F$15, G$2:G$15, cleaned_names1[[#This Row],[proper name]])</f>
        <v>Rosa Maria Colombo</v>
      </c>
      <c r="D110" s="11">
        <f>COUNTA(_xlfn.TEXTSPLIT(cleaned_names1[cleaned name], " "))</f>
        <v>3</v>
      </c>
    </row>
    <row r="111" spans="1:4">
      <c r="A111" s="11" t="s">
        <v>612</v>
      </c>
      <c r="B111" s="11" t="str">
        <f>TRIM(PROPER(cleaned_names1[[#This Row],[name]]))</f>
        <v>Caterina Lucia Colombo</v>
      </c>
      <c r="C111" s="11" t="str">
        <f>_xlfn.XLOOKUP(cleaned_names1[[#This Row],[proper name]], F$2:F$15, G$2:G$15, cleaned_names1[[#This Row],[proper name]])</f>
        <v>Caterina Lucia Colombo</v>
      </c>
      <c r="D111" s="11">
        <f>COUNTA(_xlfn.TEXTSPLIT(cleaned_names1[cleaned name], " "))</f>
        <v>3</v>
      </c>
    </row>
    <row r="112" spans="1:4">
      <c r="A112" s="11" t="s">
        <v>615</v>
      </c>
      <c r="B112" s="11" t="str">
        <f>TRIM(PROPER(cleaned_names1[[#This Row],[name]]))</f>
        <v>Christophe Nicolas Richard</v>
      </c>
      <c r="C112" s="11" t="str">
        <f>_xlfn.XLOOKUP(cleaned_names1[[#This Row],[proper name]], F$2:F$15, G$2:G$15, cleaned_names1[[#This Row],[proper name]])</f>
        <v>Christophe Nicolas Richard</v>
      </c>
      <c r="D112" s="11">
        <f>COUNTA(_xlfn.TEXTSPLIT(cleaned_names1[cleaned name], " "))</f>
        <v>3</v>
      </c>
    </row>
    <row r="113" spans="1:4">
      <c r="A113" s="11" t="s">
        <v>618</v>
      </c>
      <c r="B113" s="11" t="str">
        <f>TRIM(PROPER(cleaned_names1[[#This Row],[name]]))</f>
        <v>Vincenzo Salvatore Russo</v>
      </c>
      <c r="C113" s="11" t="str">
        <f>_xlfn.XLOOKUP(cleaned_names1[[#This Row],[proper name]], F$2:F$15, G$2:G$15, cleaned_names1[[#This Row],[proper name]])</f>
        <v>Vincenzo Salvatore Russo</v>
      </c>
      <c r="D113" s="11">
        <f>COUNTA(_xlfn.TEXTSPLIT(cleaned_names1[cleaned name], " "))</f>
        <v>3</v>
      </c>
    </row>
    <row r="114" spans="1:4">
      <c r="A114" s="11" t="s">
        <v>621</v>
      </c>
      <c r="B114" s="11" t="str">
        <f>TRIM(PROPER(cleaned_names1[[#This Row],[name]]))</f>
        <v>Akira Satoshi Watanabe</v>
      </c>
      <c r="C114" s="11" t="str">
        <f>_xlfn.XLOOKUP(cleaned_names1[[#This Row],[proper name]], F$2:F$15, G$2:G$15, cleaned_names1[[#This Row],[proper name]])</f>
        <v>Akira Satoshi Watanabe</v>
      </c>
      <c r="D114" s="11">
        <f>COUNTA(_xlfn.TEXTSPLIT(cleaned_names1[cleaned name], " "))</f>
        <v>3</v>
      </c>
    </row>
    <row r="115" spans="1:4">
      <c r="A115" s="11" t="s">
        <v>624</v>
      </c>
      <c r="B115" s="11" t="str">
        <f>TRIM(PROPER(cleaned_names1[[#This Row],[name]]))</f>
        <v>Joseph Thomas Millre</v>
      </c>
      <c r="C115" s="11" t="str">
        <f>_xlfn.XLOOKUP(cleaned_names1[[#This Row],[proper name]], F$2:F$15, G$2:G$15, cleaned_names1[[#This Row],[proper name]])</f>
        <v>Joseph Thomas Millre</v>
      </c>
      <c r="D115" s="11">
        <f>COUNTA(_xlfn.TEXTSPLIT(cleaned_names1[cleaned name], " "))</f>
        <v>3</v>
      </c>
    </row>
    <row r="116" spans="1:4">
      <c r="A116" s="11" t="s">
        <v>626</v>
      </c>
      <c r="B116" s="11" t="str">
        <f>TRIM(PROPER(cleaned_names1[[#This Row],[name]]))</f>
        <v>Martine Isabelle Richard</v>
      </c>
      <c r="C116" s="11" t="str">
        <f>_xlfn.XLOOKUP(cleaned_names1[[#This Row],[proper name]], F$2:F$15, G$2:G$15, cleaned_names1[[#This Row],[proper name]])</f>
        <v>Martine Isabelle Richard</v>
      </c>
      <c r="D116" s="11">
        <f>COUNTA(_xlfn.TEXTSPLIT(cleaned_names1[cleaned name], " "))</f>
        <v>3</v>
      </c>
    </row>
    <row r="117" spans="1:4">
      <c r="A117" s="11" t="s">
        <v>1080</v>
      </c>
      <c r="B117" s="11" t="str">
        <f>TRIM(PROPER(cleaned_names1[[#This Row],[name]]))</f>
        <v>Luiz Luiz Oliveira</v>
      </c>
      <c r="C117" s="11" t="str">
        <f>_xlfn.XLOOKUP(cleaned_names1[[#This Row],[proper name]], F$2:F$15, G$2:G$15, cleaned_names1[[#This Row],[proper name]])</f>
        <v>Luiz Luiz Oliveira</v>
      </c>
      <c r="D117" s="11">
        <f>COUNTA(_xlfn.TEXTSPLIT(cleaned_names1[cleaned name], " "))</f>
        <v>3</v>
      </c>
    </row>
    <row r="118" spans="1:4">
      <c r="A118" s="11" t="s">
        <v>1081</v>
      </c>
      <c r="B118" s="11" t="str">
        <f>TRIM(PROPER(cleaned_names1[[#This Row],[name]]))</f>
        <v>Francisco José Luis Fernández</v>
      </c>
      <c r="C118" s="11" t="str">
        <f>_xlfn.XLOOKUP(cleaned_names1[[#This Row],[proper name]], F$2:F$15, G$2:G$15, cleaned_names1[[#This Row],[proper name]])</f>
        <v>Francisco José Fernández</v>
      </c>
      <c r="D118" s="11">
        <f>COUNTA(_xlfn.TEXTSPLIT(cleaned_names1[cleaned name], " "))</f>
        <v>3</v>
      </c>
    </row>
    <row r="119" spans="1:4">
      <c r="A119" s="11" t="s">
        <v>1082</v>
      </c>
      <c r="B119" s="11" t="str">
        <f>TRIM(PROPER(cleaned_names1[[#This Row],[name]]))</f>
        <v>Wililam Wililam Garcia</v>
      </c>
      <c r="C119" s="11" t="str">
        <f>_xlfn.XLOOKUP(cleaned_names1[[#This Row],[proper name]], F$2:F$15, G$2:G$15, cleaned_names1[[#This Row],[proper name]])</f>
        <v>Wililam Wililam Garcia</v>
      </c>
      <c r="D119" s="11">
        <f>COUNTA(_xlfn.TEXTSPLIT(cleaned_names1[cleaned name], " "))</f>
        <v>3</v>
      </c>
    </row>
    <row r="120" spans="1:4">
      <c r="A120" s="11" t="s">
        <v>639</v>
      </c>
      <c r="B120" s="11" t="str">
        <f>TRIM(PROPER(cleaned_names1[[#This Row],[name]]))</f>
        <v>Lucia Angela Rossi</v>
      </c>
      <c r="C120" s="11" t="str">
        <f>_xlfn.XLOOKUP(cleaned_names1[[#This Row],[proper name]], F$2:F$15, G$2:G$15, cleaned_names1[[#This Row],[proper name]])</f>
        <v>Lucia Angela Rossi</v>
      </c>
      <c r="D120" s="11">
        <f>COUNTA(_xlfn.TEXTSPLIT(cleaned_names1[cleaned name], " "))</f>
        <v>3</v>
      </c>
    </row>
    <row r="121" spans="1:4">
      <c r="A121" s="11" t="s">
        <v>642</v>
      </c>
      <c r="B121" s="11" t="str">
        <f>TRIM(PROPER(cleaned_names1[[#This Row],[name]]))</f>
        <v>Ursula Karin Schulz</v>
      </c>
      <c r="C121" s="11" t="str">
        <f>_xlfn.XLOOKUP(cleaned_names1[[#This Row],[proper name]], F$2:F$15, G$2:G$15, cleaned_names1[[#This Row],[proper name]])</f>
        <v>Ursula Karin Schulz</v>
      </c>
      <c r="D121" s="11">
        <f>COUNTA(_xlfn.TEXTSPLIT(cleaned_names1[cleaned name], " "))</f>
        <v>3</v>
      </c>
    </row>
    <row r="122" spans="1:4">
      <c r="A122" s="11" t="s">
        <v>645</v>
      </c>
      <c r="B122" s="11" t="str">
        <f>TRIM(PROPER(cleaned_names1[[#This Row],[name]]))</f>
        <v>Osamu Hiroshi Tanaka</v>
      </c>
      <c r="C122" s="11" t="str">
        <f>_xlfn.XLOOKUP(cleaned_names1[[#This Row],[proper name]], F$2:F$15, G$2:G$15, cleaned_names1[[#This Row],[proper name]])</f>
        <v>Osamu Hiroshi Tanaka</v>
      </c>
      <c r="D122" s="11">
        <f>COUNTA(_xlfn.TEXTSPLIT(cleaned_names1[cleaned name], " "))</f>
        <v>3</v>
      </c>
    </row>
    <row r="123" spans="1:4">
      <c r="A123" s="11" t="s">
        <v>1083</v>
      </c>
      <c r="B123" s="11" t="str">
        <f>TRIM(PROPER(cleaned_names1[[#This Row],[name]]))</f>
        <v>Yuki Shinji Ito</v>
      </c>
      <c r="C123" s="11" t="str">
        <f>_xlfn.XLOOKUP(cleaned_names1[[#This Row],[proper name]], F$2:F$15, G$2:G$15, cleaned_names1[[#This Row],[proper name]])</f>
        <v>Yuki Shinji Ito</v>
      </c>
      <c r="D123" s="11">
        <f>COUNTA(_xlfn.TEXTSPLIT(cleaned_names1[cleaned name], " "))</f>
        <v>3</v>
      </c>
    </row>
    <row r="124" spans="1:4">
      <c r="A124" s="11" t="s">
        <v>651</v>
      </c>
      <c r="B124" s="11" t="str">
        <f>TRIM(PROPER(cleaned_names1[[#This Row],[name]]))</f>
        <v>Wolfgang Andreas Weber</v>
      </c>
      <c r="C124" s="11" t="str">
        <f>_xlfn.XLOOKUP(cleaned_names1[[#This Row],[proper name]], F$2:F$15, G$2:G$15, cleaned_names1[[#This Row],[proper name]])</f>
        <v>Wolfgang Andreas Weber</v>
      </c>
      <c r="D124" s="11">
        <f>COUNTA(_xlfn.TEXTSPLIT(cleaned_names1[cleaned name], " "))</f>
        <v>3</v>
      </c>
    </row>
    <row r="125" spans="1:4">
      <c r="A125" s="11" t="s">
        <v>654</v>
      </c>
      <c r="B125" s="11" t="str">
        <f>TRIM(PROPER(cleaned_names1[[#This Row],[name]]))</f>
        <v>Pietro Giovanni Esposito</v>
      </c>
      <c r="C125" s="11" t="str">
        <f>_xlfn.XLOOKUP(cleaned_names1[[#This Row],[proper name]], F$2:F$15, G$2:G$15, cleaned_names1[[#This Row],[proper name]])</f>
        <v>Pietro Giovanni Esposito</v>
      </c>
      <c r="D125" s="11">
        <f>COUNTA(_xlfn.TEXTSPLIT(cleaned_names1[cleaned name], " "))</f>
        <v>3</v>
      </c>
    </row>
    <row r="126" spans="1:4">
      <c r="A126" s="11" t="s">
        <v>1084</v>
      </c>
      <c r="B126" s="11" t="str">
        <f>TRIM(PROPER(cleaned_names1[[#This Row],[name]]))</f>
        <v>Teresa María Carmen Martínez</v>
      </c>
      <c r="C126" s="11" t="str">
        <f>_xlfn.XLOOKUP(cleaned_names1[[#This Row],[proper name]], F$2:F$15, G$2:G$15, cleaned_names1[[#This Row],[proper name]])</f>
        <v>Teresa María Martínez</v>
      </c>
      <c r="D126" s="11">
        <f>COUNTA(_xlfn.TEXTSPLIT(cleaned_names1[cleaned name], " "))</f>
        <v>3</v>
      </c>
    </row>
    <row r="127" spans="1:4">
      <c r="A127" s="11" t="s">
        <v>1085</v>
      </c>
      <c r="B127" s="11" t="str">
        <f>TRIM(PROPER(cleaned_names1[[#This Row],[name]]))</f>
        <v>Angela Carmela Greco</v>
      </c>
      <c r="C127" s="11" t="str">
        <f>_xlfn.XLOOKUP(cleaned_names1[[#This Row],[proper name]], F$2:F$15, G$2:G$15, cleaned_names1[[#This Row],[proper name]])</f>
        <v>Angela Carmela Greco</v>
      </c>
      <c r="D127" s="11">
        <f>COUNTA(_xlfn.TEXTSPLIT(cleaned_names1[cleaned name], " "))</f>
        <v>3</v>
      </c>
    </row>
    <row r="128" spans="1:4">
      <c r="A128" s="11" t="s">
        <v>1086</v>
      </c>
      <c r="B128" s="11" t="str">
        <f>TRIM(PROPER(cleaned_names1[[#This Row],[name]]))</f>
        <v>Christian Klaus Fischer</v>
      </c>
      <c r="C128" s="11" t="str">
        <f>_xlfn.XLOOKUP(cleaned_names1[[#This Row],[proper name]], F$2:F$15, G$2:G$15, cleaned_names1[[#This Row],[proper name]])</f>
        <v>Christian Klaus Fischer</v>
      </c>
      <c r="D128" s="11">
        <f>COUNTA(_xlfn.TEXTSPLIT(cleaned_names1[cleaned name], " "))</f>
        <v>3</v>
      </c>
    </row>
    <row r="129" spans="1:4">
      <c r="A129" s="11" t="s">
        <v>666</v>
      </c>
      <c r="B129" s="11" t="str">
        <f>TRIM(PROPER(cleaned_names1[[#This Row],[name]]))</f>
        <v>Lucas Luiz Gomes</v>
      </c>
      <c r="C129" s="11" t="str">
        <f>_xlfn.XLOOKUP(cleaned_names1[[#This Row],[proper name]], F$2:F$15, G$2:G$15, cleaned_names1[[#This Row],[proper name]])</f>
        <v>Lucas Luiz Gomes</v>
      </c>
      <c r="D129" s="11">
        <f>COUNTA(_xlfn.TEXTSPLIT(cleaned_names1[cleaned name], " "))</f>
        <v>3</v>
      </c>
    </row>
    <row r="130" spans="1:4">
      <c r="A130" s="11" t="s">
        <v>668</v>
      </c>
      <c r="B130" s="11" t="str">
        <f>TRIM(PROPER(cleaned_names1[[#This Row],[name]]))</f>
        <v>Pietro Angelo Russo</v>
      </c>
      <c r="C130" s="11" t="str">
        <f>_xlfn.XLOOKUP(cleaned_names1[[#This Row],[proper name]], F$2:F$15, G$2:G$15, cleaned_names1[[#This Row],[proper name]])</f>
        <v>Pietro Angelo Russo</v>
      </c>
      <c r="D130" s="11">
        <f>COUNTA(_xlfn.TEXTSPLIT(cleaned_names1[cleaned name], " "))</f>
        <v>3</v>
      </c>
    </row>
    <row r="131" spans="1:4">
      <c r="A131" s="11" t="s">
        <v>1087</v>
      </c>
      <c r="B131" s="11" t="str">
        <f>TRIM(PROPER(cleaned_names1[[#This Row],[name]]))</f>
        <v>José Antônio L Ima</v>
      </c>
      <c r="C131" s="11" t="str">
        <f>_xlfn.XLOOKUP(cleaned_names1[[#This Row],[proper name]], F$2:F$15, G$2:G$15, cleaned_names1[[#This Row],[proper name]])</f>
        <v>José Antônio Lima</v>
      </c>
      <c r="D131" s="11">
        <f>COUNTA(_xlfn.TEXTSPLIT(cleaned_names1[cleaned name], " "))</f>
        <v>3</v>
      </c>
    </row>
    <row r="132" spans="1:4">
      <c r="A132" s="11" t="s">
        <v>674</v>
      </c>
      <c r="B132" s="11" t="str">
        <f>TRIM(PROPER(cleaned_names1[[#This Row],[name]]))</f>
        <v>Laura María López</v>
      </c>
      <c r="C132" s="11" t="str">
        <f>_xlfn.XLOOKUP(cleaned_names1[[#This Row],[proper name]], F$2:F$15, G$2:G$15, cleaned_names1[[#This Row],[proper name]])</f>
        <v>Laura María López</v>
      </c>
      <c r="D132" s="11">
        <f>COUNTA(_xlfn.TEXTSPLIT(cleaned_names1[cleaned name], " "))</f>
        <v>3</v>
      </c>
    </row>
    <row r="133" spans="1:4">
      <c r="A133" s="11" t="s">
        <v>1088</v>
      </c>
      <c r="B133" s="11" t="str">
        <f>TRIM(PROPER(cleaned_names1[[#This Row],[name]]))</f>
        <v>Michael Klaus Schmidt</v>
      </c>
      <c r="C133" s="11" t="str">
        <f>_xlfn.XLOOKUP(cleaned_names1[[#This Row],[proper name]], F$2:F$15, G$2:G$15, cleaned_names1[[#This Row],[proper name]])</f>
        <v>Michael Klaus Schmidt</v>
      </c>
      <c r="D133" s="11">
        <f>COUNTA(_xlfn.TEXTSPLIT(cleaned_names1[cleaned name], " "))</f>
        <v>3</v>
      </c>
    </row>
    <row r="134" spans="1:4">
      <c r="A134" s="11" t="s">
        <v>680</v>
      </c>
      <c r="B134" s="11" t="str">
        <f>TRIM(PROPER(cleaned_names1[[#This Row],[name]]))</f>
        <v>Hiroko Yoko Tanaka</v>
      </c>
      <c r="C134" s="11" t="str">
        <f>_xlfn.XLOOKUP(cleaned_names1[[#This Row],[proper name]], F$2:F$15, G$2:G$15, cleaned_names1[[#This Row],[proper name]])</f>
        <v>Hiroko Yoko Tanaka</v>
      </c>
      <c r="D134" s="11">
        <f>COUNTA(_xlfn.TEXTSPLIT(cleaned_names1[cleaned name], " "))</f>
        <v>3</v>
      </c>
    </row>
    <row r="135" spans="1:4">
      <c r="A135" s="11" t="s">
        <v>683</v>
      </c>
      <c r="B135" s="11" t="str">
        <f>TRIM(PROPER(cleaned_names1[[#This Row],[name]]))</f>
        <v>Min Lingz Hang</v>
      </c>
      <c r="C135" s="11" t="str">
        <f>_xlfn.XLOOKUP(cleaned_names1[[#This Row],[proper name]], F$2:F$15, G$2:G$15, cleaned_names1[[#This Row],[proper name]])</f>
        <v>Min Lingz Hang</v>
      </c>
      <c r="D135" s="11">
        <f>COUNTA(_xlfn.TEXTSPLIT(cleaned_names1[cleaned name], " "))</f>
        <v>3</v>
      </c>
    </row>
    <row r="136" spans="1:4">
      <c r="A136" s="11" t="s">
        <v>684</v>
      </c>
      <c r="B136" s="11" t="str">
        <f>TRIM(PROPER(cleaned_names1[[#This Row],[name]]))</f>
        <v>Giovanna Carmela Romano</v>
      </c>
      <c r="C136" s="11" t="str">
        <f>_xlfn.XLOOKUP(cleaned_names1[[#This Row],[proper name]], F$2:F$15, G$2:G$15, cleaned_names1[[#This Row],[proper name]])</f>
        <v>Giovanna Carmela Romano</v>
      </c>
      <c r="D136" s="11">
        <f>COUNTA(_xlfn.TEXTSPLIT(cleaned_names1[cleaned name], " "))</f>
        <v>3</v>
      </c>
    </row>
    <row r="137" spans="1:4">
      <c r="A137" s="11" t="s">
        <v>1089</v>
      </c>
      <c r="B137" s="11" t="str">
        <f>TRIM(PROPER(cleaned_names1[[#This Row],[name]]))</f>
        <v>Monique Sandrine Robert</v>
      </c>
      <c r="C137" s="11" t="str">
        <f>_xlfn.XLOOKUP(cleaned_names1[[#This Row],[proper name]], F$2:F$15, G$2:G$15, cleaned_names1[[#This Row],[proper name]])</f>
        <v>Monique Sandrine Robert</v>
      </c>
      <c r="D137" s="11">
        <f>COUNTA(_xlfn.TEXTSPLIT(cleaned_names1[cleaned name], " "))</f>
        <v>3</v>
      </c>
    </row>
    <row r="138" spans="1:4">
      <c r="A138" s="11" t="s">
        <v>1090</v>
      </c>
      <c r="B138" s="11" t="str">
        <f>TRIM(PROPER(cleaned_names1[[#This Row],[name]]))</f>
        <v>Gang Lei Zhou</v>
      </c>
      <c r="C138" s="11" t="str">
        <f>_xlfn.XLOOKUP(cleaned_names1[[#This Row],[proper name]], F$2:F$15, G$2:G$15, cleaned_names1[[#This Row],[proper name]])</f>
        <v>Gang Lei Zhou</v>
      </c>
      <c r="D138" s="11">
        <f>COUNTA(_xlfn.TEXTSPLIT(cleaned_names1[cleaned name], " "))</f>
        <v>3</v>
      </c>
    </row>
    <row r="139" spans="1:4">
      <c r="A139" s="11" t="s">
        <v>1091</v>
      </c>
      <c r="B139" s="11" t="str">
        <f>TRIM(PROPER(cleaned_names1[[#This Row],[name]]))</f>
        <v>Antonio Antonio Gómez</v>
      </c>
      <c r="C139" s="11" t="str">
        <f>_xlfn.XLOOKUP(cleaned_names1[[#This Row],[proper name]], F$2:F$15, G$2:G$15, cleaned_names1[[#This Row],[proper name]])</f>
        <v>Antonio Antonio Gómez</v>
      </c>
      <c r="D139" s="11">
        <f>COUNTA(_xlfn.TEXTSPLIT(cleaned_names1[cleaned name], " "))</f>
        <v>3</v>
      </c>
    </row>
    <row r="140" spans="1:4">
      <c r="A140" s="11" t="s">
        <v>696</v>
      </c>
      <c r="B140" s="11" t="str">
        <f>TRIM(PROPER(cleaned_names1[[#This Row],[name]]))</f>
        <v>Marcos José Silva</v>
      </c>
      <c r="C140" s="11" t="str">
        <f>_xlfn.XLOOKUP(cleaned_names1[[#This Row],[proper name]], F$2:F$15, G$2:G$15, cleaned_names1[[#This Row],[proper name]])</f>
        <v>Marcos José Silva</v>
      </c>
      <c r="D140" s="11">
        <f>COUNTA(_xlfn.TEXTSPLIT(cleaned_names1[cleaned name], " "))</f>
        <v>3</v>
      </c>
    </row>
    <row r="141" spans="1:4">
      <c r="A141" s="11" t="s">
        <v>699</v>
      </c>
      <c r="B141" s="11" t="str">
        <f>TRIM(PROPER(cleaned_names1[[#This Row],[name]]))</f>
        <v>Jie Hao Yang</v>
      </c>
      <c r="C141" s="11" t="str">
        <f>_xlfn.XLOOKUP(cleaned_names1[[#This Row],[proper name]], F$2:F$15, G$2:G$15, cleaned_names1[[#This Row],[proper name]])</f>
        <v>Jie Hao Yang</v>
      </c>
      <c r="D141" s="11">
        <f>COUNTA(_xlfn.TEXTSPLIT(cleaned_names1[cleaned name], " "))</f>
        <v>3</v>
      </c>
    </row>
    <row r="142" spans="1:4">
      <c r="A142" s="11" t="s">
        <v>702</v>
      </c>
      <c r="B142" s="11" t="str">
        <f>TRIM(PROPER(cleaned_names1[[#This Row],[name]]))</f>
        <v>Ping Fang Wu</v>
      </c>
      <c r="C142" s="11" t="str">
        <f>_xlfn.XLOOKUP(cleaned_names1[[#This Row],[proper name]], F$2:F$15, G$2:G$15, cleaned_names1[[#This Row],[proper name]])</f>
        <v>Ping Fang Wu</v>
      </c>
      <c r="D142" s="11">
        <f>COUNTA(_xlfn.TEXTSPLIT(cleaned_names1[cleaned name], " "))</f>
        <v>3</v>
      </c>
    </row>
    <row r="143" spans="1:4">
      <c r="A143" s="11" t="s">
        <v>1092</v>
      </c>
      <c r="B143" s="11" t="str">
        <f>TRIM(PROPER(cleaned_names1[[#This Row],[name]]))</f>
        <v>Mei Lan Wu</v>
      </c>
      <c r="C143" s="11" t="str">
        <f>_xlfn.XLOOKUP(cleaned_names1[[#This Row],[proper name]], F$2:F$15, G$2:G$15, cleaned_names1[[#This Row],[proper name]])</f>
        <v>Mei Lan Wu</v>
      </c>
      <c r="D143" s="11">
        <f>COUNTA(_xlfn.TEXTSPLIT(cleaned_names1[cleaned name], " "))</f>
        <v>3</v>
      </c>
    </row>
    <row r="144" spans="1:4">
      <c r="A144" s="11" t="s">
        <v>1093</v>
      </c>
      <c r="B144" s="11" t="str">
        <f>TRIM(PROPER(cleaned_names1[[#This Row],[name]]))</f>
        <v>Alain Jea Nthomas</v>
      </c>
      <c r="C144" s="11" t="str">
        <f>_xlfn.XLOOKUP(cleaned_names1[[#This Row],[proper name]], F$2:F$15, G$2:G$15, cleaned_names1[[#This Row],[proper name]])</f>
        <v>Alain Jea Nthomas</v>
      </c>
      <c r="D144" s="11">
        <f>COUNTA(_xlfn.TEXTSPLIT(cleaned_names1[cleaned name], " "))</f>
        <v>3</v>
      </c>
    </row>
    <row r="145" spans="1:4">
      <c r="A145" s="11" t="s">
        <v>712</v>
      </c>
      <c r="B145" s="11" t="str">
        <f>TRIM(PROPER(cleaned_names1[[#This Row],[name]]))</f>
        <v>Sandrine Sandrine Durand</v>
      </c>
      <c r="C145" s="11" t="str">
        <f>_xlfn.XLOOKUP(cleaned_names1[[#This Row],[proper name]], F$2:F$15, G$2:G$15, cleaned_names1[[#This Row],[proper name]])</f>
        <v>Sandrine Sandrine Durand</v>
      </c>
      <c r="D145" s="11">
        <f>COUNTA(_xlfn.TEXTSPLIT(cleaned_names1[cleaned name], " "))</f>
        <v>3</v>
      </c>
    </row>
    <row r="146" spans="1:4">
      <c r="A146" s="11" t="s">
        <v>1094</v>
      </c>
      <c r="B146" s="11" t="str">
        <f>TRIM(PROPER(cleaned_names1[[#This Row],[name]]))</f>
        <v>María María Carmen Gómez</v>
      </c>
      <c r="C146" s="11" t="str">
        <f>_xlfn.XLOOKUP(cleaned_names1[[#This Row],[proper name]], F$2:F$15, G$2:G$15, cleaned_names1[[#This Row],[proper name]])</f>
        <v>María Carmen Gómez</v>
      </c>
      <c r="D146" s="11">
        <f>COUNTA(_xlfn.TEXTSPLIT(cleaned_names1[cleaned name], " "))</f>
        <v>3</v>
      </c>
    </row>
    <row r="147" spans="1:4">
      <c r="A147" s="11" t="s">
        <v>718</v>
      </c>
      <c r="B147" s="11" t="str">
        <f>TRIM(PROPER(cleaned_names1[[#This Row],[name]]))</f>
        <v>Michael Michael Schmidt</v>
      </c>
      <c r="C147" s="11" t="str">
        <f>_xlfn.XLOOKUP(cleaned_names1[[#This Row],[proper name]], F$2:F$15, G$2:G$15, cleaned_names1[[#This Row],[proper name]])</f>
        <v>Michael Michael Schmidt</v>
      </c>
      <c r="D147" s="11">
        <f>COUNTA(_xlfn.TEXTSPLIT(cleaned_names1[cleaned name], " "))</f>
        <v>3</v>
      </c>
    </row>
    <row r="148" spans="1:4">
      <c r="A148" s="11" t="s">
        <v>1095</v>
      </c>
      <c r="B148" s="11" t="str">
        <f>TRIM(PROPER(cleaned_names1[[#This Row],[name]]))</f>
        <v>Lucas Marcos Rodrigues</v>
      </c>
      <c r="C148" s="11" t="str">
        <f>_xlfn.XLOOKUP(cleaned_names1[[#This Row],[proper name]], F$2:F$15, G$2:G$15, cleaned_names1[[#This Row],[proper name]])</f>
        <v>Lucas Marcos Rodrigues</v>
      </c>
      <c r="D148" s="11">
        <f>COUNTA(_xlfn.TEXTSPLIT(cleaned_names1[cleaned name], " "))</f>
        <v>3</v>
      </c>
    </row>
    <row r="149" spans="1:4">
      <c r="A149" s="11" t="s">
        <v>1096</v>
      </c>
      <c r="B149" s="11" t="str">
        <f>TRIM(PROPER(cleaned_names1[[#This Row],[name]]))</f>
        <v>Lan Fang Zhao</v>
      </c>
      <c r="C149" s="11" t="str">
        <f>_xlfn.XLOOKUP(cleaned_names1[[#This Row],[proper name]], F$2:F$15, G$2:G$15, cleaned_names1[[#This Row],[proper name]])</f>
        <v>Lan Fang Zhao</v>
      </c>
      <c r="D149" s="11">
        <f>COUNTA(_xlfn.TEXTSPLIT(cleaned_names1[cleaned name], " "))</f>
        <v>3</v>
      </c>
    </row>
    <row r="150" spans="1:4">
      <c r="A150" s="11" t="s">
        <v>725</v>
      </c>
      <c r="B150" s="11" t="str">
        <f>TRIM(PROPER(cleaned_names1[[#This Row],[name]]))</f>
        <v>Jennifer Susan Jones</v>
      </c>
      <c r="C150" s="11" t="str">
        <f>_xlfn.XLOOKUP(cleaned_names1[[#This Row],[proper name]], F$2:F$15, G$2:G$15, cleaned_names1[[#This Row],[proper name]])</f>
        <v>Jennifer Susan Jones</v>
      </c>
      <c r="D150" s="11">
        <f>COUNTA(_xlfn.TEXTSPLIT(cleaned_names1[cleaned name], " "))</f>
        <v>3</v>
      </c>
    </row>
    <row r="151" spans="1:4">
      <c r="A151" s="11" t="s">
        <v>1097</v>
      </c>
      <c r="B151" s="11" t="str">
        <f>TRIM(PROPER(cleaned_names1[[#This Row],[name]]))</f>
        <v>Ping Yan Yang</v>
      </c>
      <c r="C151" s="11" t="str">
        <f>_xlfn.XLOOKUP(cleaned_names1[[#This Row],[proper name]], F$2:F$15, G$2:G$15, cleaned_names1[[#This Row],[proper name]])</f>
        <v>Ping Yan Yang</v>
      </c>
      <c r="D151" s="11">
        <f>COUNTA(_xlfn.TEXTSPLIT(cleaned_names1[cleaned name], " "))</f>
        <v>3</v>
      </c>
    </row>
    <row r="152" spans="1:4">
      <c r="A152" s="11" t="s">
        <v>730</v>
      </c>
      <c r="B152" s="11" t="str">
        <f>TRIM(PROPER(cleaned_names1[[#This Row],[name]]))</f>
        <v>Francesco Mario Ferrari</v>
      </c>
      <c r="C152" s="11" t="str">
        <f>_xlfn.XLOOKUP(cleaned_names1[[#This Row],[proper name]], F$2:F$15, G$2:G$15, cleaned_names1[[#This Row],[proper name]])</f>
        <v>Francesco Mario Ferrari</v>
      </c>
      <c r="D152" s="11">
        <f>COUNTA(_xlfn.TEXTSPLIT(cleaned_names1[cleaned name], " "))</f>
        <v>3</v>
      </c>
    </row>
    <row r="153" spans="1:4">
      <c r="A153" s="11" t="s">
        <v>734</v>
      </c>
      <c r="B153" s="11" t="str">
        <f>TRIM(PROPER(cleaned_names1[[#This Row],[name]]))</f>
        <v>Christopher Christopher Johnson</v>
      </c>
      <c r="C153" s="11" t="str">
        <f>_xlfn.XLOOKUP(cleaned_names1[[#This Row],[proper name]], F$2:F$15, G$2:G$15, cleaned_names1[[#This Row],[proper name]])</f>
        <v>Christopher Christopher Johnson</v>
      </c>
      <c r="D153" s="11">
        <f>COUNTA(_xlfn.TEXTSPLIT(cleaned_names1[cleaned name], " "))</f>
        <v>3</v>
      </c>
    </row>
    <row r="154" spans="1:4">
      <c r="A154" s="11" t="s">
        <v>1098</v>
      </c>
      <c r="B154" s="11" t="str">
        <f>TRIM(PROPER(cleaned_names1[[#This Row],[name]]))</f>
        <v>Hans Wolfgang Becker</v>
      </c>
      <c r="C154" s="11" t="str">
        <f>_xlfn.XLOOKUP(cleaned_names1[[#This Row],[proper name]], F$2:F$15, G$2:G$15, cleaned_names1[[#This Row],[proper name]])</f>
        <v>Hans Wolfgang Becker</v>
      </c>
      <c r="D154" s="11">
        <f>COUNTA(_xlfn.TEXTSPLIT(cleaned_names1[cleaned name], " "))</f>
        <v>3</v>
      </c>
    </row>
    <row r="155" spans="1:4">
      <c r="A155" s="11" t="s">
        <v>740</v>
      </c>
      <c r="B155" s="11" t="str">
        <f>TRIM(PROPER(cleaned_names1[[#This Row],[name]]))</f>
        <v>Jessica Susan Jones</v>
      </c>
      <c r="C155" s="11" t="str">
        <f>_xlfn.XLOOKUP(cleaned_names1[[#This Row],[proper name]], F$2:F$15, G$2:G$15, cleaned_names1[[#This Row],[proper name]])</f>
        <v>Jessica Susan Jones</v>
      </c>
      <c r="D155" s="11">
        <f>COUNTA(_xlfn.TEXTSPLIT(cleaned_names1[cleaned name], " "))</f>
        <v>3</v>
      </c>
    </row>
    <row r="156" spans="1:4">
      <c r="A156" s="11" t="s">
        <v>743</v>
      </c>
      <c r="B156" s="11" t="str">
        <f>TRIM(PROPER(cleaned_names1[[#This Row],[name]]))</f>
        <v>Masako Hiroko Kobayashi</v>
      </c>
      <c r="C156" s="11" t="str">
        <f>_xlfn.XLOOKUP(cleaned_names1[[#This Row],[proper name]], F$2:F$15, G$2:G$15, cleaned_names1[[#This Row],[proper name]])</f>
        <v>Masako Hiroko Kobayashi</v>
      </c>
      <c r="D156" s="11">
        <f>COUNTA(_xlfn.TEXTSPLIT(cleaned_names1[cleaned name], " "))</f>
        <v>3</v>
      </c>
    </row>
    <row r="157" spans="1:4">
      <c r="A157" s="11" t="s">
        <v>746</v>
      </c>
      <c r="B157" s="11" t="str">
        <f>TRIM(PROPER(cleaned_names1[[#This Row],[name]]))</f>
        <v>Francisco Antônio Silva</v>
      </c>
      <c r="C157" s="11" t="str">
        <f>_xlfn.XLOOKUP(cleaned_names1[[#This Row],[proper name]], F$2:F$15, G$2:G$15, cleaned_names1[[#This Row],[proper name]])</f>
        <v>Francisco Antônio Silva</v>
      </c>
      <c r="D157" s="11">
        <f>COUNTA(_xlfn.TEXTSPLIT(cleaned_names1[cleaned name], " "))</f>
        <v>3</v>
      </c>
    </row>
    <row r="158" spans="1:4">
      <c r="A158" s="11" t="s">
        <v>749</v>
      </c>
      <c r="B158" s="11" t="str">
        <f>TRIM(PROPER(cleaned_names1[[#This Row],[name]]))</f>
        <v>Danile Francisco Martin</v>
      </c>
      <c r="C158" s="11" t="str">
        <f>_xlfn.XLOOKUP(cleaned_names1[[#This Row],[proper name]], F$2:F$15, G$2:G$15, cleaned_names1[[#This Row],[proper name]])</f>
        <v>Danile Francisco Martin</v>
      </c>
      <c r="D158" s="11">
        <f>COUNTA(_xlfn.TEXTSPLIT(cleaned_names1[cleaned name], " "))</f>
        <v>3</v>
      </c>
    </row>
    <row r="159" spans="1:4">
      <c r="A159" s="11" t="s">
        <v>752</v>
      </c>
      <c r="B159" s="11" t="str">
        <f>TRIM(PROPER(cleaned_names1[[#This Row],[name]]))</f>
        <v>Isabelle Catherine Martin</v>
      </c>
      <c r="C159" s="11" t="str">
        <f>_xlfn.XLOOKUP(cleaned_names1[[#This Row],[proper name]], F$2:F$15, G$2:G$15, cleaned_names1[[#This Row],[proper name]])</f>
        <v>Isabelle Catherine Martin</v>
      </c>
      <c r="D159" s="11">
        <f>COUNTA(_xlfn.TEXTSPLIT(cleaned_names1[cleaned name], " "))</f>
        <v>3</v>
      </c>
    </row>
    <row r="160" spans="1:4">
      <c r="A160" s="11" t="s">
        <v>1099</v>
      </c>
      <c r="B160" s="11" t="str">
        <f>TRIM(PROPER(cleaned_names1[[#This Row],[name]]))</f>
        <v>Michiko Yoshiko Yamamoto</v>
      </c>
      <c r="C160" s="11" t="str">
        <f>_xlfn.XLOOKUP(cleaned_names1[[#This Row],[proper name]], F$2:F$15, G$2:G$15, cleaned_names1[[#This Row],[proper name]])</f>
        <v>Michiko Yoshiko Yamamoto</v>
      </c>
      <c r="D160" s="11">
        <f>COUNTA(_xlfn.TEXTSPLIT(cleaned_names1[cleaned name], " "))</f>
        <v>3</v>
      </c>
    </row>
    <row r="161" spans="1:4">
      <c r="A161" s="11" t="s">
        <v>758</v>
      </c>
      <c r="B161" s="11" t="str">
        <f>TRIM(PROPER(cleaned_names1[[#This Row],[name]]))</f>
        <v>Jie Lei Li</v>
      </c>
      <c r="C161" s="11" t="str">
        <f>_xlfn.XLOOKUP(cleaned_names1[[#This Row],[proper name]], F$2:F$15, G$2:G$15, cleaned_names1[[#This Row],[proper name]])</f>
        <v>Jie Lei Li</v>
      </c>
      <c r="D161" s="11">
        <f>COUNTA(_xlfn.TEXTSPLIT(cleaned_names1[cleaned name], " "))</f>
        <v>3</v>
      </c>
    </row>
    <row r="162" spans="1:4">
      <c r="A162" s="11" t="s">
        <v>1100</v>
      </c>
      <c r="B162" s="11" t="str">
        <f>TRIM(PROPER(cleaned_names1[[#This Row],[name]]))</f>
        <v>Juliana Aline Silva</v>
      </c>
      <c r="C162" s="11" t="str">
        <f>_xlfn.XLOOKUP(cleaned_names1[[#This Row],[proper name]], F$2:F$15, G$2:G$15, cleaned_names1[[#This Row],[proper name]])</f>
        <v>Juliana Aline Silva</v>
      </c>
      <c r="D162" s="11">
        <f>COUNTA(_xlfn.TEXTSPLIT(cleaned_names1[cleaned name], " "))</f>
        <v>3</v>
      </c>
    </row>
    <row r="163" spans="1:4">
      <c r="A163" s="11" t="s">
        <v>1101</v>
      </c>
      <c r="B163" s="11" t="str">
        <f>TRIM(PROPER(cleaned_names1[[#This Row],[name]]))</f>
        <v>René Louis Dubois</v>
      </c>
      <c r="C163" s="11" t="str">
        <f>_xlfn.XLOOKUP(cleaned_names1[[#This Row],[proper name]], F$2:F$15, G$2:G$15, cleaned_names1[[#This Row],[proper name]])</f>
        <v>René Louis Dubois</v>
      </c>
      <c r="D163" s="11">
        <f>COUNTA(_xlfn.TEXTSPLIT(cleaned_names1[cleaned name], " "))</f>
        <v>3</v>
      </c>
    </row>
    <row r="164" spans="1:4">
      <c r="A164" s="11" t="s">
        <v>767</v>
      </c>
      <c r="B164" s="11" t="str">
        <f>TRIM(PROPER(cleaned_names1[[#This Row],[name]]))</f>
        <v>Aline Aline Santos</v>
      </c>
      <c r="C164" s="11" t="str">
        <f>_xlfn.XLOOKUP(cleaned_names1[[#This Row],[proper name]], F$2:F$15, G$2:G$15, cleaned_names1[[#This Row],[proper name]])</f>
        <v>Aline Aline Santos</v>
      </c>
      <c r="D164" s="11">
        <f>COUNTA(_xlfn.TEXTSPLIT(cleaned_names1[cleaned name], " "))</f>
        <v>3</v>
      </c>
    </row>
    <row r="165" spans="1:4">
      <c r="A165" s="11" t="s">
        <v>770</v>
      </c>
      <c r="B165" s="11" t="str">
        <f>TRIM(PROPER(cleaned_names1[[#This Row],[name]]))</f>
        <v>Hiroko Michiko Ito</v>
      </c>
      <c r="C165" s="11" t="str">
        <f>_xlfn.XLOOKUP(cleaned_names1[[#This Row],[proper name]], F$2:F$15, G$2:G$15, cleaned_names1[[#This Row],[proper name]])</f>
        <v>Hiroko Michiko Ito</v>
      </c>
      <c r="D165" s="11">
        <f>COUNTA(_xlfn.TEXTSPLIT(cleaned_names1[cleaned name], " "))</f>
        <v>3</v>
      </c>
    </row>
    <row r="166" spans="1:4">
      <c r="A166" s="11" t="s">
        <v>1102</v>
      </c>
      <c r="B166" s="11" t="str">
        <f>TRIM(PROPER(cleaned_names1[[#This Row],[name]]))</f>
        <v>Stefan Stefan Müller</v>
      </c>
      <c r="C166" s="11" t="str">
        <f>_xlfn.XLOOKUP(cleaned_names1[[#This Row],[proper name]], F$2:F$15, G$2:G$15, cleaned_names1[[#This Row],[proper name]])</f>
        <v>Stefan Stefan Müller</v>
      </c>
      <c r="D166" s="11">
        <f>COUNTA(_xlfn.TEXTSPLIT(cleaned_names1[cleaned name], " "))</f>
        <v>3</v>
      </c>
    </row>
    <row r="167" spans="1:4">
      <c r="A167" s="11" t="s">
        <v>774</v>
      </c>
      <c r="B167" s="11" t="str">
        <f>TRIM(PROPER(cleaned_names1[[#This Row],[name]]))</f>
        <v>Fernanda Maria Lima</v>
      </c>
      <c r="C167" s="11" t="str">
        <f>_xlfn.XLOOKUP(cleaned_names1[[#This Row],[proper name]], F$2:F$15, G$2:G$15, cleaned_names1[[#This Row],[proper name]])</f>
        <v>Fernanda Maria Lima</v>
      </c>
      <c r="D167" s="11">
        <f>COUNTA(_xlfn.TEXTSPLIT(cleaned_names1[cleaned name], " "))</f>
        <v>3</v>
      </c>
    </row>
    <row r="168" spans="1:4">
      <c r="A168" s="11" t="s">
        <v>1103</v>
      </c>
      <c r="B168" s="11" t="str">
        <f>TRIM(PROPER(cleaned_names1[[#This Row],[name]]))</f>
        <v>Christian Frank Müller</v>
      </c>
      <c r="C168" s="11" t="str">
        <f>_xlfn.XLOOKUP(cleaned_names1[[#This Row],[proper name]], F$2:F$15, G$2:G$15, cleaned_names1[[#This Row],[proper name]])</f>
        <v>Christian Frank Müller</v>
      </c>
      <c r="D168" s="11">
        <f>COUNTA(_xlfn.TEXTSPLIT(cleaned_names1[cleaned name], " "))</f>
        <v>3</v>
      </c>
    </row>
    <row r="169" spans="1:4">
      <c r="A169" s="11" t="s">
        <v>1104</v>
      </c>
      <c r="B169" s="11" t="str">
        <f>TRIM(PROPER(cleaned_names1[[#This Row],[name]]))</f>
        <v>Yuki Hiroshi Watanabe</v>
      </c>
      <c r="C169" s="11" t="str">
        <f>_xlfn.XLOOKUP(cleaned_names1[[#This Row],[proper name]], F$2:F$15, G$2:G$15, cleaned_names1[[#This Row],[proper name]])</f>
        <v>Yuki Hiroshi Watanabe</v>
      </c>
      <c r="D169" s="11">
        <f>COUNTA(_xlfn.TEXTSPLIT(cleaned_names1[cleaned name], " "))</f>
        <v>3</v>
      </c>
    </row>
    <row r="170" spans="1:4">
      <c r="A170" s="11" t="s">
        <v>1105</v>
      </c>
      <c r="B170" s="11" t="str">
        <f>TRIM(PROPER(cleaned_names1[[#This Row],[name]]))</f>
        <v>Petra Ursula Fischer</v>
      </c>
      <c r="C170" s="11" t="str">
        <f>_xlfn.XLOOKUP(cleaned_names1[[#This Row],[proper name]], F$2:F$15, G$2:G$15, cleaned_names1[[#This Row],[proper name]])</f>
        <v>Petra Ursula Fischer</v>
      </c>
      <c r="D170" s="11">
        <f>COUNTA(_xlfn.TEXTSPLIT(cleaned_names1[cleaned name], " "))</f>
        <v>3</v>
      </c>
    </row>
    <row r="171" spans="1:4">
      <c r="A171" s="11" t="s">
        <v>787</v>
      </c>
      <c r="B171" s="11" t="str">
        <f>TRIM(PROPER(cleaned_names1[[#This Row],[name]]))</f>
        <v>Robert John Garcia</v>
      </c>
      <c r="C171" s="11" t="str">
        <f>_xlfn.XLOOKUP(cleaned_names1[[#This Row],[proper name]], F$2:F$15, G$2:G$15, cleaned_names1[[#This Row],[proper name]])</f>
        <v>Robert John Garcia</v>
      </c>
      <c r="D171" s="11">
        <f>COUNTA(_xlfn.TEXTSPLIT(cleaned_names1[cleaned name], " "))</f>
        <v>3</v>
      </c>
    </row>
    <row r="172" spans="1:4">
      <c r="A172" s="11" t="s">
        <v>790</v>
      </c>
      <c r="B172" s="11" t="str">
        <f>TRIM(PROPER(cleaned_names1[[#This Row],[name]]))</f>
        <v>Mary Susan Jones</v>
      </c>
      <c r="C172" s="11" t="str">
        <f>_xlfn.XLOOKUP(cleaned_names1[[#This Row],[proper name]], F$2:F$15, G$2:G$15, cleaned_names1[[#This Row],[proper name]])</f>
        <v>Mary Susan Jones</v>
      </c>
      <c r="D172" s="11">
        <f>COUNTA(_xlfn.TEXTSPLIT(cleaned_names1[cleaned name], " "))</f>
        <v>3</v>
      </c>
    </row>
    <row r="173" spans="1:4">
      <c r="A173" s="11" t="s">
        <v>793</v>
      </c>
      <c r="B173" s="11" t="str">
        <f>TRIM(PROPER(cleaned_names1[[#This Row],[name]]))</f>
        <v>Richard Joseph Williasm</v>
      </c>
      <c r="C173" s="11" t="str">
        <f>_xlfn.XLOOKUP(cleaned_names1[[#This Row],[proper name]], F$2:F$15, G$2:G$15, cleaned_names1[[#This Row],[proper name]])</f>
        <v>Richard Joseph Williasm</v>
      </c>
      <c r="D173" s="11">
        <f>COUNTA(_xlfn.TEXTSPLIT(cleaned_names1[cleaned name], " "))</f>
        <v>3</v>
      </c>
    </row>
    <row r="174" spans="1:4">
      <c r="A174" s="11" t="s">
        <v>796</v>
      </c>
      <c r="B174" s="11" t="str">
        <f>TRIM(PROPER(cleaned_names1[[#This Row],[name]]))</f>
        <v>Francisco Francisco Martin</v>
      </c>
      <c r="C174" s="11" t="str">
        <f>_xlfn.XLOOKUP(cleaned_names1[[#This Row],[proper name]], F$2:F$15, G$2:G$15, cleaned_names1[[#This Row],[proper name]])</f>
        <v>Francisco Francisco Martin</v>
      </c>
      <c r="D174" s="11">
        <f>COUNTA(_xlfn.TEXTSPLIT(cleaned_names1[cleaned name], " "))</f>
        <v>3</v>
      </c>
    </row>
    <row r="175" spans="1:4">
      <c r="A175" s="11" t="s">
        <v>1106</v>
      </c>
      <c r="B175" s="11" t="str">
        <f>TRIM(PROPER(cleaned_names1[[#This Row],[name]]))</f>
        <v>Fang Jun Liu</v>
      </c>
      <c r="C175" s="11" t="str">
        <f>_xlfn.XLOOKUP(cleaned_names1[[#This Row],[proper name]], F$2:F$15, G$2:G$15, cleaned_names1[[#This Row],[proper name]])</f>
        <v>Fang Jun Liu</v>
      </c>
      <c r="D175" s="11">
        <f>COUNTA(_xlfn.TEXTSPLIT(cleaned_names1[cleaned name], " "))</f>
        <v>3</v>
      </c>
    </row>
    <row r="176" spans="1:4">
      <c r="A176" s="11" t="s">
        <v>1107</v>
      </c>
      <c r="B176" s="11" t="str">
        <f>TRIM(PROPER(cleaned_names1[[#This Row],[name]]))</f>
        <v>Aline Francisca Santos</v>
      </c>
      <c r="C176" s="11" t="str">
        <f>_xlfn.XLOOKUP(cleaned_names1[[#This Row],[proper name]], F$2:F$15, G$2:G$15, cleaned_names1[[#This Row],[proper name]])</f>
        <v>Aline Francisca Santos</v>
      </c>
      <c r="D176" s="11">
        <f>COUNTA(_xlfn.TEXTSPLIT(cleaned_names1[cleaned name], " "))</f>
        <v>3</v>
      </c>
    </row>
    <row r="177" spans="1:4">
      <c r="A177" s="11" t="s">
        <v>805</v>
      </c>
      <c r="B177" s="11" t="str">
        <f>TRIM(PROPER(cleaned_names1[[#This Row],[name]]))</f>
        <v>Salvatore Giovanni Rossi</v>
      </c>
      <c r="C177" s="11" t="str">
        <f>_xlfn.XLOOKUP(cleaned_names1[[#This Row],[proper name]], F$2:F$15, G$2:G$15, cleaned_names1[[#This Row],[proper name]])</f>
        <v>Salvatore Giovanni Rossi</v>
      </c>
      <c r="D177" s="11">
        <f>COUNTA(_xlfn.TEXTSPLIT(cleaned_names1[cleaned name], " "))</f>
        <v>3</v>
      </c>
    </row>
    <row r="178" spans="1:4">
      <c r="A178" s="11" t="s">
        <v>808</v>
      </c>
      <c r="B178" s="11" t="str">
        <f>TRIM(PROPER(cleaned_names1[[#This Row],[name]]))</f>
        <v>Monique Marie Thomas</v>
      </c>
      <c r="C178" s="11" t="str">
        <f>_xlfn.XLOOKUP(cleaned_names1[[#This Row],[proper name]], F$2:F$15, G$2:G$15, cleaned_names1[[#This Row],[proper name]])</f>
        <v>Monique Marie Thomas</v>
      </c>
      <c r="D178" s="11">
        <f>COUNTA(_xlfn.TEXTSPLIT(cleaned_names1[cleaned name], " "))</f>
        <v>3</v>
      </c>
    </row>
    <row r="179" spans="1:4">
      <c r="A179" s="11" t="s">
        <v>811</v>
      </c>
      <c r="B179" s="11" t="str">
        <f>TRIM(PROPER(cleaned_names1[[#This Row],[name]]))</f>
        <v>Antônia Antônia Oliveira</v>
      </c>
      <c r="C179" s="11" t="str">
        <f>_xlfn.XLOOKUP(cleaned_names1[[#This Row],[proper name]], F$2:F$15, G$2:G$15, cleaned_names1[[#This Row],[proper name]])</f>
        <v>Antônia Antônia Oliveira</v>
      </c>
      <c r="D179" s="11">
        <f>COUNTA(_xlfn.TEXTSPLIT(cleaned_names1[cleaned name], " "))</f>
        <v>3</v>
      </c>
    </row>
    <row r="180" spans="1:4">
      <c r="A180" s="11" t="s">
        <v>814</v>
      </c>
      <c r="B180" s="11" t="str">
        <f>TRIM(PROPER(cleaned_names1[[#This Row],[name]]))</f>
        <v>Carmela Lucia Ferrari</v>
      </c>
      <c r="C180" s="11" t="str">
        <f>_xlfn.XLOOKUP(cleaned_names1[[#This Row],[proper name]], F$2:F$15, G$2:G$15, cleaned_names1[[#This Row],[proper name]])</f>
        <v>Carmela Lucia Ferrari</v>
      </c>
      <c r="D180" s="11">
        <f>COUNTA(_xlfn.TEXTSPLIT(cleaned_names1[cleaned name], " "))</f>
        <v>3</v>
      </c>
    </row>
    <row r="181" spans="1:4">
      <c r="A181" s="11" t="s">
        <v>815</v>
      </c>
      <c r="B181" s="11" t="str">
        <f>TRIM(PROPER(cleaned_names1[[#This Row],[name]]))</f>
        <v>Juliana Antônia Ferreira</v>
      </c>
      <c r="C181" s="11" t="str">
        <f>_xlfn.XLOOKUP(cleaned_names1[[#This Row],[proper name]], F$2:F$15, G$2:G$15, cleaned_names1[[#This Row],[proper name]])</f>
        <v>Juliana Antônia Ferreira</v>
      </c>
      <c r="D181" s="11">
        <f>COUNTA(_xlfn.TEXTSPLIT(cleaned_names1[cleaned name], " "))</f>
        <v>3</v>
      </c>
    </row>
    <row r="182" spans="1:4">
      <c r="A182" s="11" t="s">
        <v>818</v>
      </c>
      <c r="B182" s="11" t="str">
        <f>TRIM(PROPER(cleaned_names1[[#This Row],[name]]))</f>
        <v>Klaus Wolfgang Meyer</v>
      </c>
      <c r="C182" s="11" t="str">
        <f>_xlfn.XLOOKUP(cleaned_names1[[#This Row],[proper name]], F$2:F$15, G$2:G$15, cleaned_names1[[#This Row],[proper name]])</f>
        <v>Klaus Wolfgang Meyer</v>
      </c>
      <c r="D182" s="11">
        <f>COUNTA(_xlfn.TEXTSPLIT(cleaned_names1[cleaned name], " "))</f>
        <v>3</v>
      </c>
    </row>
    <row r="183" spans="1:4">
      <c r="A183" s="11" t="s">
        <v>821</v>
      </c>
      <c r="B183" s="11" t="str">
        <f>TRIM(PROPER(cleaned_names1[[#This Row],[name]]))</f>
        <v>Yan Ping Huang</v>
      </c>
      <c r="C183" s="11" t="str">
        <f>_xlfn.XLOOKUP(cleaned_names1[[#This Row],[proper name]], F$2:F$15, G$2:G$15, cleaned_names1[[#This Row],[proper name]])</f>
        <v>Yan Ping Huang</v>
      </c>
      <c r="D183" s="11">
        <f>COUNTA(_xlfn.TEXTSPLIT(cleaned_names1[cleaned name], " "))</f>
        <v>3</v>
      </c>
    </row>
    <row r="184" spans="1:4">
      <c r="A184" s="11" t="s">
        <v>1108</v>
      </c>
      <c r="B184" s="11" t="str">
        <f>TRIM(PROPER(cleaned_names1[[#This Row],[name]]))</f>
        <v>José Luis Danile Fernández</v>
      </c>
      <c r="C184" s="11" t="str">
        <f>_xlfn.XLOOKUP(cleaned_names1[[#This Row],[proper name]], F$2:F$15, G$2:G$15, cleaned_names1[[#This Row],[proper name]])</f>
        <v>José Luis Fernández</v>
      </c>
      <c r="D184" s="11">
        <f>COUNTA(_xlfn.TEXTSPLIT(cleaned_names1[cleaned name], " "))</f>
        <v>3</v>
      </c>
    </row>
    <row r="185" spans="1:4">
      <c r="A185" s="11" t="s">
        <v>827</v>
      </c>
      <c r="B185" s="11" t="str">
        <f>TRIM(PROPER(cleaned_names1[[#This Row],[name]]))</f>
        <v>René Christophe Robert</v>
      </c>
      <c r="C185" s="11" t="str">
        <f>_xlfn.XLOOKUP(cleaned_names1[[#This Row],[proper name]], F$2:F$15, G$2:G$15, cleaned_names1[[#This Row],[proper name]])</f>
        <v>René Christophe Robert</v>
      </c>
      <c r="D185" s="11">
        <f>COUNTA(_xlfn.TEXTSPLIT(cleaned_names1[cleaned name], " "))</f>
        <v>3</v>
      </c>
    </row>
    <row r="186" spans="1:4">
      <c r="A186" s="11" t="s">
        <v>1109</v>
      </c>
      <c r="B186" s="11" t="str">
        <f>TRIM(PROPER(cleaned_names1[[#This Row],[name]]))</f>
        <v>Lucia Angela Colombo</v>
      </c>
      <c r="C186" s="11" t="str">
        <f>_xlfn.XLOOKUP(cleaned_names1[[#This Row],[proper name]], F$2:F$15, G$2:G$15, cleaned_names1[[#This Row],[proper name]])</f>
        <v>Lucia Angela Colombo</v>
      </c>
      <c r="D186" s="11">
        <f>COUNTA(_xlfn.TEXTSPLIT(cleaned_names1[cleaned name], " "))</f>
        <v>3</v>
      </c>
    </row>
    <row r="187" spans="1:4">
      <c r="A187" s="11" t="s">
        <v>834</v>
      </c>
      <c r="B187" s="11" t="str">
        <f>TRIM(PROPER(cleaned_names1[[#This Row],[name]]))</f>
        <v>Maria Sabine Weber</v>
      </c>
      <c r="C187" s="11" t="str">
        <f>_xlfn.XLOOKUP(cleaned_names1[[#This Row],[proper name]], F$2:F$15, G$2:G$15, cleaned_names1[[#This Row],[proper name]])</f>
        <v>Maria Sabine Weber</v>
      </c>
      <c r="D187" s="11">
        <f>COUNTA(_xlfn.TEXTSPLIT(cleaned_names1[cleaned name], " "))</f>
        <v>3</v>
      </c>
    </row>
    <row r="188" spans="1:4">
      <c r="A188" s="11" t="s">
        <v>835</v>
      </c>
      <c r="B188" s="11" t="str">
        <f>TRIM(PROPER(cleaned_names1[[#This Row],[name]]))</f>
        <v>Juliana Maria Ferreira</v>
      </c>
      <c r="C188" s="11" t="str">
        <f>_xlfn.XLOOKUP(cleaned_names1[[#This Row],[proper name]], F$2:F$15, G$2:G$15, cleaned_names1[[#This Row],[proper name]])</f>
        <v>Juliana Maria Ferreira</v>
      </c>
      <c r="D188" s="11">
        <f>COUNTA(_xlfn.TEXTSPLIT(cleaned_names1[cleaned name], " "))</f>
        <v>3</v>
      </c>
    </row>
    <row r="189" spans="1:4">
      <c r="A189" s="11" t="s">
        <v>838</v>
      </c>
      <c r="B189" s="11" t="str">
        <f>TRIM(PROPER(cleaned_names1[[#This Row],[name]]))</f>
        <v>Renate Maria Hoffmann</v>
      </c>
      <c r="C189" s="11" t="str">
        <f>_xlfn.XLOOKUP(cleaned_names1[[#This Row],[proper name]], F$2:F$15, G$2:G$15, cleaned_names1[[#This Row],[proper name]])</f>
        <v>Renate Maria Hoffmann</v>
      </c>
      <c r="D189" s="11">
        <f>COUNTA(_xlfn.TEXTSPLIT(cleaned_names1[cleaned name], " "))</f>
        <v>3</v>
      </c>
    </row>
    <row r="190" spans="1:4">
      <c r="A190" s="11" t="s">
        <v>841</v>
      </c>
      <c r="B190" s="11" t="str">
        <f>TRIM(PROPER(cleaned_names1[[#This Row],[name]]))</f>
        <v>Ana Antônia Gomes</v>
      </c>
      <c r="C190" s="11" t="str">
        <f>_xlfn.XLOOKUP(cleaned_names1[[#This Row],[proper name]], F$2:F$15, G$2:G$15, cleaned_names1[[#This Row],[proper name]])</f>
        <v>Ana Antônia Gomes</v>
      </c>
      <c r="D190" s="11">
        <f>COUNTA(_xlfn.TEXTSPLIT(cleaned_names1[cleaned name], " "))</f>
        <v>3</v>
      </c>
    </row>
    <row r="191" spans="1:4">
      <c r="A191" s="11" t="s">
        <v>844</v>
      </c>
      <c r="B191" s="11" t="str">
        <f>TRIM(PROPER(cleaned_names1[[#This Row],[name]]))</f>
        <v>Hao Lei Li</v>
      </c>
      <c r="C191" s="11" t="str">
        <f>_xlfn.XLOOKUP(cleaned_names1[[#This Row],[proper name]], F$2:F$15, G$2:G$15, cleaned_names1[[#This Row],[proper name]])</f>
        <v>Hao Lei Li</v>
      </c>
      <c r="D191" s="11">
        <f>COUNTA(_xlfn.TEXTSPLIT(cleaned_names1[cleaned name], " "))</f>
        <v>3</v>
      </c>
    </row>
    <row r="192" spans="1:4">
      <c r="A192" s="11" t="s">
        <v>847</v>
      </c>
      <c r="B192" s="11" t="str">
        <f>TRIM(PROPER(cleaned_names1[[#This Row],[name]]))</f>
        <v>Kenji Toru Watanabe</v>
      </c>
      <c r="C192" s="11" t="str">
        <f>_xlfn.XLOOKUP(cleaned_names1[[#This Row],[proper name]], F$2:F$15, G$2:G$15, cleaned_names1[[#This Row],[proper name]])</f>
        <v>Kenji Toru Watanabe</v>
      </c>
      <c r="D192" s="11">
        <f>COUNTA(_xlfn.TEXTSPLIT(cleaned_names1[cleaned name], " "))</f>
        <v>3</v>
      </c>
    </row>
    <row r="193" spans="1:4">
      <c r="A193" s="11" t="s">
        <v>850</v>
      </c>
      <c r="B193" s="11" t="str">
        <f>TRIM(PROPER(cleaned_names1[[#This Row],[name]]))</f>
        <v>Françoise Martine Thomas</v>
      </c>
      <c r="C193" s="11" t="str">
        <f>_xlfn.XLOOKUP(cleaned_names1[[#This Row],[proper name]], F$2:F$15, G$2:G$15, cleaned_names1[[#This Row],[proper name]])</f>
        <v>Françoise Martine Thomas</v>
      </c>
      <c r="D193" s="11">
        <f>COUNTA(_xlfn.TEXTSPLIT(cleaned_names1[cleaned name], " "))</f>
        <v>3</v>
      </c>
    </row>
    <row r="194" spans="1:4">
      <c r="A194" s="11" t="s">
        <v>1110</v>
      </c>
      <c r="B194" s="11" t="str">
        <f>TRIM(PROPER(cleaned_names1[[#This Row],[name]]))</f>
        <v>Toru Yuki Kobayashi</v>
      </c>
      <c r="C194" s="11" t="str">
        <f>_xlfn.XLOOKUP(cleaned_names1[[#This Row],[proper name]], F$2:F$15, G$2:G$15, cleaned_names1[[#This Row],[proper name]])</f>
        <v>Toru Yuki Kobayashi</v>
      </c>
      <c r="D194" s="11">
        <f>COUNTA(_xlfn.TEXTSPLIT(cleaned_names1[cleaned name], " "))</f>
        <v>3</v>
      </c>
    </row>
    <row r="195" spans="1:4">
      <c r="A195" s="11" t="s">
        <v>1111</v>
      </c>
      <c r="B195" s="11" t="str">
        <f>TRIM(PROPER(cleaned_names1[[#This Row],[name]]))</f>
        <v>Andreas Peter Schneider</v>
      </c>
      <c r="C195" s="11" t="str">
        <f>_xlfn.XLOOKUP(cleaned_names1[[#This Row],[proper name]], F$2:F$15, G$2:G$15, cleaned_names1[[#This Row],[proper name]])</f>
        <v>Andreas Peter Schneider</v>
      </c>
      <c r="D195" s="11">
        <f>COUNTA(_xlfn.TEXTSPLIT(cleaned_names1[cleaned name], " "))</f>
        <v>3</v>
      </c>
    </row>
    <row r="196" spans="1:4">
      <c r="A196" s="11" t="s">
        <v>859</v>
      </c>
      <c r="B196" s="11" t="str">
        <f>TRIM(PROPER(cleaned_names1[[#This Row],[name]]))</f>
        <v>Akiko Yoshiko Suzuki</v>
      </c>
      <c r="C196" s="11" t="str">
        <f>_xlfn.XLOOKUP(cleaned_names1[[#This Row],[proper name]], F$2:F$15, G$2:G$15, cleaned_names1[[#This Row],[proper name]])</f>
        <v>Akiko Yoshiko Suzuki</v>
      </c>
      <c r="D196" s="11">
        <f>COUNTA(_xlfn.TEXTSPLIT(cleaned_names1[cleaned name], " "))</f>
        <v>3</v>
      </c>
    </row>
    <row r="197" spans="1:4">
      <c r="A197" s="11" t="s">
        <v>862</v>
      </c>
      <c r="B197" s="11" t="str">
        <f>TRIM(PROPER(cleaned_names1[[#This Row],[name]]))</f>
        <v>Yang Ju Nyang</v>
      </c>
      <c r="C197" s="11" t="str">
        <f>_xlfn.XLOOKUP(cleaned_names1[[#This Row],[proper name]], F$2:F$15, G$2:G$15, cleaned_names1[[#This Row],[proper name]])</f>
        <v>Yang Ju Nyang</v>
      </c>
      <c r="D197" s="11">
        <f>COUNTA(_xlfn.TEXTSPLIT(cleaned_names1[cleaned name], " "))</f>
        <v>3</v>
      </c>
    </row>
    <row r="198" spans="1:4">
      <c r="A198" s="11" t="s">
        <v>866</v>
      </c>
      <c r="B198" s="11" t="str">
        <f>TRIM(PROPER(cleaned_names1[[#This Row],[name]]))</f>
        <v>Angelo Pietro Bianchi</v>
      </c>
      <c r="C198" s="11" t="str">
        <f>_xlfn.XLOOKUP(cleaned_names1[[#This Row],[proper name]], F$2:F$15, G$2:G$15, cleaned_names1[[#This Row],[proper name]])</f>
        <v>Angelo Pietro Bianchi</v>
      </c>
      <c r="D198" s="11">
        <f>COUNTA(_xlfn.TEXTSPLIT(cleaned_names1[cleaned name], " "))</f>
        <v>3</v>
      </c>
    </row>
    <row r="199" spans="1:4">
      <c r="A199" s="11" t="s">
        <v>867</v>
      </c>
      <c r="B199" s="11" t="str">
        <f>TRIM(PROPER(cleaned_names1[[#This Row],[name]]))</f>
        <v>Min Lan Wang</v>
      </c>
      <c r="C199" s="11" t="str">
        <f>_xlfn.XLOOKUP(cleaned_names1[[#This Row],[proper name]], F$2:F$15, G$2:G$15, cleaned_names1[[#This Row],[proper name]])</f>
        <v>Min Lan Wang</v>
      </c>
      <c r="D199" s="11">
        <f>COUNTA(_xlfn.TEXTSPLIT(cleaned_names1[cleaned name], " "))</f>
        <v>3</v>
      </c>
    </row>
    <row r="200" spans="1:4">
      <c r="A200" s="11" t="s">
        <v>1112</v>
      </c>
      <c r="B200" s="11" t="str">
        <f>TRIM(PROPER(cleaned_names1[[#This Row],[name]]))</f>
        <v>Juliana Fernanda Silva</v>
      </c>
      <c r="C200" s="11" t="str">
        <f>_xlfn.XLOOKUP(cleaned_names1[[#This Row],[proper name]], F$2:F$15, G$2:G$15, cleaned_names1[[#This Row],[proper name]])</f>
        <v>Juliana Fernanda Silva</v>
      </c>
      <c r="D200" s="11">
        <f>COUNTA(_xlfn.TEXTSPLIT(cleaned_names1[cleaned name], " "))</f>
        <v>3</v>
      </c>
    </row>
    <row r="201" spans="1:4">
      <c r="A201" s="11" t="s">
        <v>873</v>
      </c>
      <c r="B201" s="11" t="str">
        <f>TRIM(PROPER(cleaned_names1[[#This Row],[name]]))</f>
        <v>Angelo Giuseppe Ricci</v>
      </c>
      <c r="C201" s="11" t="str">
        <f>_xlfn.XLOOKUP(cleaned_names1[[#This Row],[proper name]], F$2:F$15, G$2:G$15, cleaned_names1[[#This Row],[proper name]])</f>
        <v>Angelo Giuseppe Ricci</v>
      </c>
      <c r="D201" s="11">
        <f>COUNTA(_xlfn.TEXTSPLIT(cleaned_names1[cleaned name], " "))</f>
        <v>3</v>
      </c>
    </row>
    <row r="202" spans="1:4">
      <c r="A202" s="11" t="s">
        <v>877</v>
      </c>
      <c r="B202" s="11" t="str">
        <f>TRIM(PROPER(cleaned_names1[[#This Row],[name]]))</f>
        <v>Alain André Robert</v>
      </c>
      <c r="C202" s="11" t="str">
        <f>_xlfn.XLOOKUP(cleaned_names1[[#This Row],[proper name]], F$2:F$15, G$2:G$15, cleaned_names1[[#This Row],[proper name]])</f>
        <v>Alain André Robert</v>
      </c>
      <c r="D202" s="11">
        <f>COUNTA(_xlfn.TEXTSPLIT(cleaned_names1[cleaned name], " "))</f>
        <v>3</v>
      </c>
    </row>
    <row r="203" spans="1:4">
      <c r="A203" s="11" t="s">
        <v>1113</v>
      </c>
      <c r="B203" s="11" t="str">
        <f>TRIM(PROPER(cleaned_names1[[#This Row],[name]]))</f>
        <v>Maria Rosa Ferrari</v>
      </c>
      <c r="C203" s="11" t="str">
        <f>_xlfn.XLOOKUP(cleaned_names1[[#This Row],[proper name]], F$2:F$15, G$2:G$15, cleaned_names1[[#This Row],[proper name]])</f>
        <v>Maria Rosa Ferrari</v>
      </c>
      <c r="D203" s="11">
        <f>COUNTA(_xlfn.TEXTSPLIT(cleaned_names1[cleaned name], " "))</f>
        <v>3</v>
      </c>
    </row>
    <row r="204" spans="1:4">
      <c r="A204" s="11" t="s">
        <v>883</v>
      </c>
      <c r="B204" s="11" t="str">
        <f>TRIM(PROPER(cleaned_names1[[#This Row],[name]]))</f>
        <v>André René Richard</v>
      </c>
      <c r="C204" s="11" t="str">
        <f>_xlfn.XLOOKUP(cleaned_names1[[#This Row],[proper name]], F$2:F$15, G$2:G$15, cleaned_names1[[#This Row],[proper name]])</f>
        <v>André René Richard</v>
      </c>
      <c r="D204" s="11">
        <f>COUNTA(_xlfn.TEXTSPLIT(cleaned_names1[cleaned name], " "))</f>
        <v>3</v>
      </c>
    </row>
    <row r="205" spans="1:4">
      <c r="A205" s="11" t="s">
        <v>886</v>
      </c>
      <c r="B205" s="11" t="str">
        <f>TRIM(PROPER(cleaned_names1[[#This Row],[name]]))</f>
        <v>Akira Kenji Kobayashi</v>
      </c>
      <c r="C205" s="11" t="str">
        <f>_xlfn.XLOOKUP(cleaned_names1[[#This Row],[proper name]], F$2:F$15, G$2:G$15, cleaned_names1[[#This Row],[proper name]])</f>
        <v>Akira Kenji Kobayashi</v>
      </c>
      <c r="D205" s="11">
        <f>COUNTA(_xlfn.TEXTSPLIT(cleaned_names1[cleaned name], " "))</f>
        <v>3</v>
      </c>
    </row>
    <row r="206" spans="1:4">
      <c r="A206" s="11" t="s">
        <v>887</v>
      </c>
      <c r="B206" s="11" t="str">
        <f>TRIM(PROPER(cleaned_names1[[#This Row],[name]]))</f>
        <v>Joseph Thomas Martinez</v>
      </c>
      <c r="C206" s="11" t="str">
        <f>_xlfn.XLOOKUP(cleaned_names1[[#This Row],[proper name]], F$2:F$15, G$2:G$15, cleaned_names1[[#This Row],[proper name]])</f>
        <v>Joseph Thomas Martinez</v>
      </c>
      <c r="D206" s="11">
        <f>COUNTA(_xlfn.TEXTSPLIT(cleaned_names1[cleaned name], " "))</f>
        <v>3</v>
      </c>
    </row>
    <row r="207" spans="1:4">
      <c r="A207" s="11" t="s">
        <v>1114</v>
      </c>
      <c r="B207" s="11" t="str">
        <f>TRIM(PROPER(cleaned_names1[[#This Row],[name]]))</f>
        <v>Isabel Teresa López</v>
      </c>
      <c r="C207" s="11" t="str">
        <f>_xlfn.XLOOKUP(cleaned_names1[[#This Row],[proper name]], F$2:F$15, G$2:G$15, cleaned_names1[[#This Row],[proper name]])</f>
        <v>Isabel Teresa López</v>
      </c>
      <c r="D207" s="11">
        <f>COUNTA(_xlfn.TEXTSPLIT(cleaned_names1[cleaned name], " "))</f>
        <v>3</v>
      </c>
    </row>
    <row r="208" spans="1:4">
      <c r="A208" s="11" t="s">
        <v>894</v>
      </c>
      <c r="B208" s="11" t="str">
        <f>TRIM(PROPER(cleaned_names1[[#This Row],[name]]))</f>
        <v>Li Yan Chen</v>
      </c>
      <c r="C208" s="11" t="str">
        <f>_xlfn.XLOOKUP(cleaned_names1[[#This Row],[proper name]], F$2:F$15, G$2:G$15, cleaned_names1[[#This Row],[proper name]])</f>
        <v>Li Yan Chen</v>
      </c>
      <c r="D208" s="11">
        <f>COUNTA(_xlfn.TEXTSPLIT(cleaned_names1[cleaned name], " "))</f>
        <v>3</v>
      </c>
    </row>
    <row r="209" spans="1:4">
      <c r="A209" s="11" t="s">
        <v>897</v>
      </c>
      <c r="B209" s="11" t="str">
        <f>TRIM(PROPER(cleaned_names1[[#This Row],[name]]))</f>
        <v>Nicolas Jean Laurent</v>
      </c>
      <c r="C209" s="11" t="str">
        <f>_xlfn.XLOOKUP(cleaned_names1[[#This Row],[proper name]], F$2:F$15, G$2:G$15, cleaned_names1[[#This Row],[proper name]])</f>
        <v>Nicolas Jean Laurent</v>
      </c>
      <c r="D209" s="11">
        <f>COUNTA(_xlfn.TEXTSPLIT(cleaned_names1[cleaned name], " "))</f>
        <v>3</v>
      </c>
    </row>
    <row r="210" spans="1:4">
      <c r="A210" s="11" t="s">
        <v>900</v>
      </c>
      <c r="B210" s="11" t="str">
        <f>TRIM(PROPER(cleaned_names1[[#This Row],[name]]))</f>
        <v>Helga Sabine Meyer</v>
      </c>
      <c r="C210" s="11" t="str">
        <f>_xlfn.XLOOKUP(cleaned_names1[[#This Row],[proper name]], F$2:F$15, G$2:G$15, cleaned_names1[[#This Row],[proper name]])</f>
        <v>Helga Sabine Meyer</v>
      </c>
      <c r="D210" s="11">
        <f>COUNTA(_xlfn.TEXTSPLIT(cleaned_names1[cleaned name], " "))</f>
        <v>3</v>
      </c>
    </row>
    <row r="211" spans="1:4">
      <c r="A211" s="11" t="s">
        <v>903</v>
      </c>
      <c r="B211" s="11" t="str">
        <f>TRIM(PROPER(cleaned_names1[[#This Row],[name]]))</f>
        <v>Rosa Teresa Ricci</v>
      </c>
      <c r="C211" s="11" t="str">
        <f>_xlfn.XLOOKUP(cleaned_names1[[#This Row],[proper name]], F$2:F$15, G$2:G$15, cleaned_names1[[#This Row],[proper name]])</f>
        <v>Rosa Teresa Ricci</v>
      </c>
      <c r="D211" s="11">
        <f>COUNTA(_xlfn.TEXTSPLIT(cleaned_names1[cleaned name], " "))</f>
        <v>3</v>
      </c>
    </row>
    <row r="212" spans="1:4">
      <c r="A212" s="11" t="s">
        <v>906</v>
      </c>
      <c r="B212" s="11" t="str">
        <f>TRIM(PROPER(cleaned_names1[[#This Row],[name]]))</f>
        <v>Min Min Wu</v>
      </c>
      <c r="C212" s="11" t="str">
        <f>_xlfn.XLOOKUP(cleaned_names1[[#This Row],[proper name]], F$2:F$15, G$2:G$15, cleaned_names1[[#This Row],[proper name]])</f>
        <v>Min Min Wu</v>
      </c>
      <c r="D212" s="11">
        <f>COUNTA(_xlfn.TEXTSPLIT(cleaned_names1[cleaned name], " "))</f>
        <v>3</v>
      </c>
    </row>
    <row r="213" spans="1:4">
      <c r="A213" s="11" t="s">
        <v>1115</v>
      </c>
      <c r="B213" s="11" t="str">
        <f>TRIM(PROPER(cleaned_names1[[#This Row],[name]]))</f>
        <v>Yang Qiang Zhao</v>
      </c>
      <c r="C213" s="11" t="str">
        <f>_xlfn.XLOOKUP(cleaned_names1[[#This Row],[proper name]], F$2:F$15, G$2:G$15, cleaned_names1[[#This Row],[proper name]])</f>
        <v>Yang Qiang Zhao</v>
      </c>
      <c r="D213" s="11">
        <f>COUNTA(_xlfn.TEXTSPLIT(cleaned_names1[cleaned name], " "))</f>
        <v>3</v>
      </c>
    </row>
    <row r="214" spans="1:4">
      <c r="A214" s="11" t="s">
        <v>912</v>
      </c>
      <c r="B214" s="11" t="str">
        <f>TRIM(PROPER(cleaned_names1[[#This Row],[name]]))</f>
        <v>José Luis José Luis Fernández</v>
      </c>
      <c r="C214" s="11" t="str">
        <f>_xlfn.XLOOKUP(cleaned_names1[[#This Row],[proper name]], F$2:F$15, G$2:G$15, cleaned_names1[[#This Row],[proper name]])</f>
        <v>José Luis Fernández</v>
      </c>
      <c r="D214" s="11">
        <f>COUNTA(_xlfn.TEXTSPLIT(cleaned_names1[cleaned name], " "))</f>
        <v>3</v>
      </c>
    </row>
    <row r="215" spans="1:4">
      <c r="A215" s="11" t="s">
        <v>915</v>
      </c>
      <c r="B215" s="11" t="str">
        <f>TRIM(PROPER(cleaned_names1[[#This Row],[name]]))</f>
        <v>Hiroshi Satoshi Tanaka</v>
      </c>
      <c r="C215" s="11" t="str">
        <f>_xlfn.XLOOKUP(cleaned_names1[[#This Row],[proper name]], F$2:F$15, G$2:G$15, cleaned_names1[[#This Row],[proper name]])</f>
        <v>Hiroshi Satoshi Tanaka</v>
      </c>
      <c r="D215" s="11">
        <f>COUNTA(_xlfn.TEXTSPLIT(cleaned_names1[cleaned name], " "))</f>
        <v>3</v>
      </c>
    </row>
    <row r="216" spans="1:4">
      <c r="A216" s="11" t="s">
        <v>1116</v>
      </c>
      <c r="B216" s="11" t="str">
        <f>TRIM(PROPER(cleaned_names1[[#This Row],[name]]))</f>
        <v>Thomas Thomas Schneider</v>
      </c>
      <c r="C216" s="11" t="str">
        <f>_xlfn.XLOOKUP(cleaned_names1[[#This Row],[proper name]], F$2:F$15, G$2:G$15, cleaned_names1[[#This Row],[proper name]])</f>
        <v>Thomas Thomas Schneider</v>
      </c>
      <c r="D216" s="11">
        <f>COUNTA(_xlfn.TEXTSPLIT(cleaned_names1[cleaned name], " "))</f>
        <v>3</v>
      </c>
    </row>
    <row r="217" spans="1:4">
      <c r="A217" s="11" t="s">
        <v>1117</v>
      </c>
      <c r="B217" s="11" t="str">
        <f>TRIM(PROPER(cleaned_names1[[#This Row],[name]]))</f>
        <v>Nathalie Sandrine Moreau</v>
      </c>
      <c r="C217" s="11" t="str">
        <f>_xlfn.XLOOKUP(cleaned_names1[[#This Row],[proper name]], F$2:F$15, G$2:G$15, cleaned_names1[[#This Row],[proper name]])</f>
        <v>Nathalie Sandrine Moreau</v>
      </c>
      <c r="D217" s="11">
        <f>COUNTA(_xlfn.TEXTSPLIT(cleaned_names1[cleaned name], " "))</f>
        <v>3</v>
      </c>
    </row>
    <row r="218" spans="1:4">
      <c r="A218" s="11" t="s">
        <v>923</v>
      </c>
      <c r="B218" s="11" t="str">
        <f>TRIM(PROPER(cleaned_names1[[#This Row],[name]]))</f>
        <v>Hans Hans Wagner</v>
      </c>
      <c r="C218" s="11" t="str">
        <f>_xlfn.XLOOKUP(cleaned_names1[[#This Row],[proper name]], F$2:F$15, G$2:G$15, cleaned_names1[[#This Row],[proper name]])</f>
        <v>Hans Hans Wagner</v>
      </c>
      <c r="D218" s="11">
        <f>COUNTA(_xlfn.TEXTSPLIT(cleaned_names1[cleaned name], " "))</f>
        <v>3</v>
      </c>
    </row>
    <row r="219" spans="1:4">
      <c r="A219" s="11" t="s">
        <v>1118</v>
      </c>
      <c r="B219" s="11" t="str">
        <f>TRIM(PROPER(cleaned_names1[[#This Row],[name]]))</f>
        <v>Sarah Mary Millre</v>
      </c>
      <c r="C219" s="11" t="str">
        <f>_xlfn.XLOOKUP(cleaned_names1[[#This Row],[proper name]], F$2:F$15, G$2:G$15, cleaned_names1[[#This Row],[proper name]])</f>
        <v>Sarah Mary Millre</v>
      </c>
      <c r="D219" s="11">
        <f>COUNTA(_xlfn.TEXTSPLIT(cleaned_names1[cleaned name], " "))</f>
        <v>3</v>
      </c>
    </row>
    <row r="220" spans="1:4">
      <c r="A220" s="11" t="s">
        <v>929</v>
      </c>
      <c r="B220" s="11" t="str">
        <f>TRIM(PROPER(cleaned_names1[[#This Row],[name]]))</f>
        <v>Josefa María Pilar Pérez</v>
      </c>
      <c r="C220" s="11" t="str">
        <f>_xlfn.XLOOKUP(cleaned_names1[[#This Row],[proper name]], F$2:F$15, G$2:G$15, cleaned_names1[[#This Row],[proper name]])</f>
        <v>Josefa Pilar Pérez</v>
      </c>
      <c r="D220" s="11">
        <f>COUNTA(_xlfn.TEXTSPLIT(cleaned_names1[cleaned name], " "))</f>
        <v>3</v>
      </c>
    </row>
    <row r="221" spans="1:4">
      <c r="A221" s="11" t="s">
        <v>1119</v>
      </c>
      <c r="B221" s="11" t="str">
        <f>TRIM(PROPER(cleaned_names1[[#This Row],[name]]))</f>
        <v>Márcia Juliana Pereira</v>
      </c>
      <c r="C221" s="11" t="str">
        <f>_xlfn.XLOOKUP(cleaned_names1[[#This Row],[proper name]], F$2:F$15, G$2:G$15, cleaned_names1[[#This Row],[proper name]])</f>
        <v>Márcia Juliana Pereira</v>
      </c>
      <c r="D221" s="11">
        <f>COUNTA(_xlfn.TEXTSPLIT(cleaned_names1[cleaned name], " "))</f>
        <v>3</v>
      </c>
    </row>
    <row r="222" spans="1:4">
      <c r="A222" s="11" t="s">
        <v>937</v>
      </c>
      <c r="B222" s="11" t="str">
        <f>TRIM(PROPER(cleaned_names1[[#This Row],[name]]))</f>
        <v>Marcos Antônio Oliveira</v>
      </c>
      <c r="C222" s="11" t="str">
        <f>_xlfn.XLOOKUP(cleaned_names1[[#This Row],[proper name]], F$2:F$15, G$2:G$15, cleaned_names1[[#This Row],[proper name]])</f>
        <v>Marcos Antônio Oliveira</v>
      </c>
      <c r="D222" s="11">
        <f>COUNTA(_xlfn.TEXTSPLIT(cleaned_names1[cleaned name], " "))</f>
        <v>3</v>
      </c>
    </row>
    <row r="223" spans="1:4">
      <c r="A223" s="11" t="s">
        <v>940</v>
      </c>
      <c r="B223" s="11" t="str">
        <f>TRIM(PROPER(cleaned_names1[[#This Row],[name]]))</f>
        <v>Masako Yoko Ito</v>
      </c>
      <c r="C223" s="11" t="str">
        <f>_xlfn.XLOOKUP(cleaned_names1[[#This Row],[proper name]], F$2:F$15, G$2:G$15, cleaned_names1[[#This Row],[proper name]])</f>
        <v>Masako Yoko Ito</v>
      </c>
      <c r="D223" s="11">
        <f>COUNTA(_xlfn.TEXTSPLIT(cleaned_names1[cleaned name], " "))</f>
        <v>3</v>
      </c>
    </row>
    <row r="224" spans="1:4">
      <c r="A224" s="11" t="s">
        <v>944</v>
      </c>
      <c r="B224" s="11" t="str">
        <f>TRIM(PROPER(cleaned_names1[[#This Row],[name]]))</f>
        <v>Wolfgang Michael Hoffmann</v>
      </c>
      <c r="C224" s="11" t="str">
        <f>_xlfn.XLOOKUP(cleaned_names1[[#This Row],[proper name]], F$2:F$15, G$2:G$15, cleaned_names1[[#This Row],[proper name]])</f>
        <v>Wolfgang Michael Hoffmann</v>
      </c>
      <c r="D224" s="11">
        <f>COUNTA(_xlfn.TEXTSPLIT(cleaned_names1[cleaned name], " "))</f>
        <v>3</v>
      </c>
    </row>
    <row r="225" spans="1:4">
      <c r="A225" s="11" t="s">
        <v>1120</v>
      </c>
      <c r="B225" s="11" t="str">
        <f>TRIM(PROPER(cleaned_names1[[#This Row],[name]]))</f>
        <v>Nathalie Françoise Robert</v>
      </c>
      <c r="C225" s="11" t="str">
        <f>_xlfn.XLOOKUP(cleaned_names1[[#This Row],[proper name]], F$2:F$15, G$2:G$15, cleaned_names1[[#This Row],[proper name]])</f>
        <v>Nathalie Françoise Robert</v>
      </c>
      <c r="D225" s="11">
        <f>COUNTA(_xlfn.TEXTSPLIT(cleaned_names1[cleaned name], " "))</f>
        <v>3</v>
      </c>
    </row>
    <row r="226" spans="1:4">
      <c r="A226" s="11" t="s">
        <v>1121</v>
      </c>
      <c r="B226" s="11" t="str">
        <f>TRIM(PROPER(cleaned_names1[[#This Row],[name]]))</f>
        <v>Francisca Adriana Lima</v>
      </c>
      <c r="C226" s="11" t="str">
        <f>_xlfn.XLOOKUP(cleaned_names1[[#This Row],[proper name]], F$2:F$15, G$2:G$15, cleaned_names1[[#This Row],[proper name]])</f>
        <v>Francisca Adriana Lima</v>
      </c>
      <c r="D226" s="11">
        <f>COUNTA(_xlfn.TEXTSPLIT(cleaned_names1[cleaned name], " "))</f>
        <v>3</v>
      </c>
    </row>
    <row r="227" spans="1:4">
      <c r="A227" s="11" t="s">
        <v>953</v>
      </c>
      <c r="B227" s="11" t="str">
        <f>TRIM(PROPER(cleaned_names1[[#This Row],[name]]))</f>
        <v>Angela Carmela Bianchi</v>
      </c>
      <c r="C227" s="11" t="str">
        <f>_xlfn.XLOOKUP(cleaned_names1[[#This Row],[proper name]], F$2:F$15, G$2:G$15, cleaned_names1[[#This Row],[proper name]])</f>
        <v>Angela Carmela Bianchi</v>
      </c>
      <c r="D227" s="11">
        <f>COUNTA(_xlfn.TEXTSPLIT(cleaned_names1[cleaned name], " "))</f>
        <v>3</v>
      </c>
    </row>
    <row r="228" spans="1:4">
      <c r="A228" s="11" t="s">
        <v>1122</v>
      </c>
      <c r="B228" s="11" t="str">
        <f>TRIM(PROPER(cleaned_names1[[#This Row],[name]]))</f>
        <v>Fang Min Li</v>
      </c>
      <c r="C228" s="11" t="str">
        <f>_xlfn.XLOOKUP(cleaned_names1[[#This Row],[proper name]], F$2:F$15, G$2:G$15, cleaned_names1[[#This Row],[proper name]])</f>
        <v>Fang Min Li</v>
      </c>
      <c r="D228" s="11">
        <f>COUNTA(_xlfn.TEXTSPLIT(cleaned_names1[cleaned name], " "))</f>
        <v>3</v>
      </c>
    </row>
    <row r="229" spans="1:4">
      <c r="A229" s="11" t="s">
        <v>959</v>
      </c>
      <c r="B229" s="11" t="str">
        <f>TRIM(PROPER(cleaned_names1[[#This Row],[name]]))</f>
        <v>Patrícia Aline Ferreira</v>
      </c>
      <c r="C229" s="11" t="str">
        <f>_xlfn.XLOOKUP(cleaned_names1[[#This Row],[proper name]], F$2:F$15, G$2:G$15, cleaned_names1[[#This Row],[proper name]])</f>
        <v>Patrícia Aline Ferreira</v>
      </c>
      <c r="D229" s="11">
        <f>COUNTA(_xlfn.TEXTSPLIT(cleaned_names1[cleaned name], " "))</f>
        <v>3</v>
      </c>
    </row>
    <row r="230" spans="1:4">
      <c r="A230" s="11" t="s">
        <v>962</v>
      </c>
      <c r="B230" s="11" t="str">
        <f>TRIM(PROPER(cleaned_names1[[#This Row],[name]]))</f>
        <v>Angela Maria Romano</v>
      </c>
      <c r="C230" s="11" t="str">
        <f>_xlfn.XLOOKUP(cleaned_names1[[#This Row],[proper name]], F$2:F$15, G$2:G$15, cleaned_names1[[#This Row],[proper name]])</f>
        <v>Angela Maria Romano</v>
      </c>
      <c r="D230" s="11">
        <f>COUNTA(_xlfn.TEXTSPLIT(cleaned_names1[cleaned name], " "))</f>
        <v>3</v>
      </c>
    </row>
    <row r="231" spans="1:4">
      <c r="A231" s="11" t="s">
        <v>965</v>
      </c>
      <c r="B231" s="11" t="str">
        <f>TRIM(PROPER(cleaned_names1[[#This Row],[name]]))</f>
        <v>Alain Christophe Petit</v>
      </c>
      <c r="C231" s="11" t="str">
        <f>_xlfn.XLOOKUP(cleaned_names1[[#This Row],[proper name]], F$2:F$15, G$2:G$15, cleaned_names1[[#This Row],[proper name]])</f>
        <v>Alain Christophe Petit</v>
      </c>
      <c r="D231" s="11">
        <f>COUNTA(_xlfn.TEXTSPLIT(cleaned_names1[cleaned name], " "))</f>
        <v>3</v>
      </c>
    </row>
    <row r="232" spans="1:4">
      <c r="A232" s="11" t="s">
        <v>1123</v>
      </c>
      <c r="B232" s="11" t="str">
        <f>TRIM(PROPER(cleaned_names1[[#This Row],[name]]))</f>
        <v>Barbara Jessica Rodriguez</v>
      </c>
      <c r="C232" s="11" t="str">
        <f>_xlfn.XLOOKUP(cleaned_names1[[#This Row],[proper name]], F$2:F$15, G$2:G$15, cleaned_names1[[#This Row],[proper name]])</f>
        <v>Barbara Jessica Rodriguez</v>
      </c>
      <c r="D232" s="11">
        <f>COUNTA(_xlfn.TEXTSPLIT(cleaned_names1[cleaned name], " "))</f>
        <v>3</v>
      </c>
    </row>
    <row r="233" spans="1:4">
      <c r="A233" s="11" t="s">
        <v>970</v>
      </c>
      <c r="B233" s="11" t="str">
        <f>TRIM(PROPER(cleaned_names1[[#This Row],[name]]))</f>
        <v>José Antonio Gómez</v>
      </c>
      <c r="C233" s="11" t="str">
        <f>_xlfn.XLOOKUP(cleaned_names1[[#This Row],[proper name]], F$2:F$15, G$2:G$15, cleaned_names1[[#This Row],[proper name]])</f>
        <v>José Antonio Gómez</v>
      </c>
      <c r="D233" s="11">
        <f>COUNTA(_xlfn.TEXTSPLIT(cleaned_names1[cleaned name], " "))</f>
        <v>3</v>
      </c>
    </row>
    <row r="234" spans="1:4">
      <c r="A234" s="11" t="s">
        <v>1124</v>
      </c>
      <c r="B234" s="11" t="str">
        <f>TRIM(PROPER(cleaned_names1[[#This Row],[name]]))</f>
        <v>Hao Qiang Zhao</v>
      </c>
      <c r="C234" s="11" t="str">
        <f>_xlfn.XLOOKUP(cleaned_names1[[#This Row],[proper name]], F$2:F$15, G$2:G$15, cleaned_names1[[#This Row],[proper name]])</f>
        <v>Hao Qiang Zhao</v>
      </c>
      <c r="D234" s="11">
        <f>COUNTA(_xlfn.TEXTSPLIT(cleaned_names1[cleaned name], " "))</f>
        <v>3</v>
      </c>
    </row>
    <row r="235" spans="1:4">
      <c r="A235" s="11" t="s">
        <v>975</v>
      </c>
      <c r="B235" s="11" t="str">
        <f>TRIM(PROPER(cleaned_names1[[#This Row],[name]]))</f>
        <v>Tomoko Tomoko Kato</v>
      </c>
      <c r="C235" s="11" t="str">
        <f>_xlfn.XLOOKUP(cleaned_names1[[#This Row],[proper name]], F$2:F$15, G$2:G$15, cleaned_names1[[#This Row],[proper name]])</f>
        <v>Tomoko Tomoko Kato</v>
      </c>
      <c r="D235" s="11">
        <f>COUNTA(_xlfn.TEXTSPLIT(cleaned_names1[cleaned name], " "))</f>
        <v>3</v>
      </c>
    </row>
    <row r="236" spans="1:4">
      <c r="A236" s="11" t="s">
        <v>978</v>
      </c>
      <c r="B236" s="11" t="str">
        <f>TRIM(PROPER(cleaned_names1[[#This Row],[name]]))</f>
        <v>Linda Jessica Brown</v>
      </c>
      <c r="C236" s="11" t="str">
        <f>_xlfn.XLOOKUP(cleaned_names1[[#This Row],[proper name]], F$2:F$15, G$2:G$15, cleaned_names1[[#This Row],[proper name]])</f>
        <v>Linda Jessica Brown</v>
      </c>
      <c r="D236" s="11">
        <f>COUNTA(_xlfn.TEXTSPLIT(cleaned_names1[cleaned name], " "))</f>
        <v>3</v>
      </c>
    </row>
    <row r="237" spans="1:4">
      <c r="A237" s="11" t="s">
        <v>981</v>
      </c>
      <c r="B237" s="11" t="str">
        <f>TRIM(PROPER(cleaned_names1[[#This Row],[name]]))</f>
        <v>Sandrin Emonique Moreau</v>
      </c>
      <c r="C237" s="11" t="str">
        <f>_xlfn.XLOOKUP(cleaned_names1[[#This Row],[proper name]], F$2:F$15, G$2:G$15, cleaned_names1[[#This Row],[proper name]])</f>
        <v>Sandrin Emonique Moreau</v>
      </c>
      <c r="D237" s="11">
        <f>COUNTA(_xlfn.TEXTSPLIT(cleaned_names1[cleaned name], " "))</f>
        <v>3</v>
      </c>
    </row>
    <row r="238" spans="1:4">
      <c r="A238" s="11" t="s">
        <v>1125</v>
      </c>
      <c r="B238" s="11" t="str">
        <f>TRIM(PROPER(cleaned_names1[[#This Row],[name]]))</f>
        <v>Naoko Michiko Nakamura</v>
      </c>
      <c r="C238" s="11" t="str">
        <f>_xlfn.XLOOKUP(cleaned_names1[[#This Row],[proper name]], F$2:F$15, G$2:G$15, cleaned_names1[[#This Row],[proper name]])</f>
        <v>Naoko Michiko Nakamura</v>
      </c>
      <c r="D238" s="11">
        <f>COUNTA(_xlfn.TEXTSPLIT(cleaned_names1[cleaned name], " "))</f>
        <v>3</v>
      </c>
    </row>
    <row r="239" spans="1:4">
      <c r="A239" s="11" t="s">
        <v>1126</v>
      </c>
      <c r="B239" s="11" t="str">
        <f>TRIM(PROPER(cleaned_names1[[#This Row],[name]]))</f>
        <v>Maria Antônia Gomes</v>
      </c>
      <c r="C239" s="11" t="str">
        <f>_xlfn.XLOOKUP(cleaned_names1[[#This Row],[proper name]], F$2:F$15, G$2:G$15, cleaned_names1[[#This Row],[proper name]])</f>
        <v>Maria Antônia Gomes</v>
      </c>
      <c r="D239" s="11">
        <f>COUNTA(_xlfn.TEXTSPLIT(cleaned_names1[cleaned name], " "))</f>
        <v>3</v>
      </c>
    </row>
    <row r="240" spans="1:4">
      <c r="A240" s="11" t="s">
        <v>990</v>
      </c>
      <c r="B240" s="11" t="str">
        <f>TRIM(PROPER(cleaned_names1[[#This Row],[name]]))</f>
        <v>Patrícia Adriana Alves</v>
      </c>
      <c r="C240" s="11" t="str">
        <f>_xlfn.XLOOKUP(cleaned_names1[[#This Row],[proper name]], F$2:F$15, G$2:G$15, cleaned_names1[[#This Row],[proper name]])</f>
        <v>Patrícia Adriana Alves</v>
      </c>
      <c r="D240" s="11">
        <f>COUNTA(_xlfn.TEXTSPLIT(cleaned_names1[cleaned name], " "))</f>
        <v>3</v>
      </c>
    </row>
    <row r="241" spans="1:4">
      <c r="A241" s="11" t="s">
        <v>1127</v>
      </c>
      <c r="B241" s="11" t="str">
        <f>TRIM(PROPER(cleaned_names1[[#This Row],[name]]))</f>
        <v>Sandrine Monique Laurent</v>
      </c>
      <c r="C241" s="11" t="str">
        <f>_xlfn.XLOOKUP(cleaned_names1[[#This Row],[proper name]], F$2:F$15, G$2:G$15, cleaned_names1[[#This Row],[proper name]])</f>
        <v>Sandrine Monique Laurent</v>
      </c>
      <c r="D241" s="11">
        <f>COUNTA(_xlfn.TEXTSPLIT(cleaned_names1[cleaned name], " "))</f>
        <v>3</v>
      </c>
    </row>
    <row r="242" spans="1:4">
      <c r="A242" s="11" t="s">
        <v>994</v>
      </c>
      <c r="B242" s="11" t="str">
        <f>TRIM(PROPER(cleaned_names1[[#This Row],[name]]))</f>
        <v>Nicolas Michel Thomas</v>
      </c>
      <c r="C242" s="11" t="str">
        <f>_xlfn.XLOOKUP(cleaned_names1[[#This Row],[proper name]], F$2:F$15, G$2:G$15, cleaned_names1[[#This Row],[proper name]])</f>
        <v>Nicolas Michel Thomas</v>
      </c>
      <c r="D242" s="11">
        <f>COUNTA(_xlfn.TEXTSPLIT(cleaned_names1[cleaned name], " "))</f>
        <v>3</v>
      </c>
    </row>
    <row r="243" spans="1:4">
      <c r="A243" s="11" t="s">
        <v>997</v>
      </c>
      <c r="B243" s="11" t="str">
        <f>TRIM(PROPER(cleaned_names1[[#This Row],[name]]))</f>
        <v>Andreas Klaus Becker</v>
      </c>
      <c r="C243" s="11" t="str">
        <f>_xlfn.XLOOKUP(cleaned_names1[[#This Row],[proper name]], F$2:F$15, G$2:G$15, cleaned_names1[[#This Row],[proper name]])</f>
        <v>Andreas Klaus Becker</v>
      </c>
      <c r="D243" s="11">
        <f>COUNTA(_xlfn.TEXTSPLIT(cleaned_names1[cleaned name], " "))</f>
        <v>3</v>
      </c>
    </row>
    <row r="244" spans="1:4">
      <c r="A244" s="11" t="s">
        <v>1128</v>
      </c>
      <c r="B244" s="11" t="str">
        <f>TRIM(PROPER(cleaned_names1[[#This Row],[name]]))</f>
        <v>Stefan Stefan Meyer</v>
      </c>
      <c r="C244" s="11" t="str">
        <f>_xlfn.XLOOKUP(cleaned_names1[[#This Row],[proper name]], F$2:F$15, G$2:G$15, cleaned_names1[[#This Row],[proper name]])</f>
        <v>Stefan Stefan Meyer</v>
      </c>
      <c r="D244" s="11">
        <f>COUNTA(_xlfn.TEXTSPLIT(cleaned_names1[cleaned name], " "))</f>
        <v>3</v>
      </c>
    </row>
    <row r="245" spans="1:4">
      <c r="A245" s="11" t="s">
        <v>1003</v>
      </c>
      <c r="B245" s="11" t="str">
        <f>TRIM(PROPER(cleaned_names1[[#This Row],[name]]))</f>
        <v>Linda Sarah Brown</v>
      </c>
      <c r="C245" s="11" t="str">
        <f>_xlfn.XLOOKUP(cleaned_names1[[#This Row],[proper name]], F$2:F$15, G$2:G$15, cleaned_names1[[#This Row],[proper name]])</f>
        <v>Linda Sarah Brown</v>
      </c>
      <c r="D245" s="11">
        <f>COUNTA(_xlfn.TEXTSPLIT(cleaned_names1[cleaned name], " "))</f>
        <v>3</v>
      </c>
    </row>
    <row r="246" spans="1:4">
      <c r="A246" s="11" t="s">
        <v>1005</v>
      </c>
      <c r="B246" s="11" t="str">
        <f>TRIM(PROPER(cleaned_names1[[#This Row],[name]]))</f>
        <v>Lucas Paulo Lima</v>
      </c>
      <c r="C246" s="11" t="str">
        <f>_xlfn.XLOOKUP(cleaned_names1[[#This Row],[proper name]], F$2:F$15, G$2:G$15, cleaned_names1[[#This Row],[proper name]])</f>
        <v>Lucas Paulo Lima</v>
      </c>
      <c r="D246" s="11">
        <f>COUNTA(_xlfn.TEXTSPLIT(cleaned_names1[cleaned name], " "))</f>
        <v>3</v>
      </c>
    </row>
    <row r="247" spans="1:4">
      <c r="A247" s="11" t="s">
        <v>1129</v>
      </c>
      <c r="B247" s="11" t="str">
        <f>TRIM(PROPER(cleaned_names1[[#This Row],[name]]))</f>
        <v>André René Moreau</v>
      </c>
      <c r="C247" s="11" t="str">
        <f>_xlfn.XLOOKUP(cleaned_names1[[#This Row],[proper name]], F$2:F$15, G$2:G$15, cleaned_names1[[#This Row],[proper name]])</f>
        <v>André René Moreau</v>
      </c>
      <c r="D247" s="11">
        <f>COUNTA(_xlfn.TEXTSPLIT(cleaned_names1[cleaned name], " "))</f>
        <v>3</v>
      </c>
    </row>
    <row r="248" spans="1:4">
      <c r="A248" s="11" t="s">
        <v>1011</v>
      </c>
      <c r="B248" s="11" t="str">
        <f>TRIM(PROPER(cleaned_names1[[#This Row],[name]]))</f>
        <v>Sachiko Tomoko Sato</v>
      </c>
      <c r="C248" s="11" t="str">
        <f>_xlfn.XLOOKUP(cleaned_names1[[#This Row],[proper name]], F$2:F$15, G$2:G$15, cleaned_names1[[#This Row],[proper name]])</f>
        <v>Sachiko Tomoko Sato</v>
      </c>
      <c r="D248" s="11">
        <f>COUNTA(_xlfn.TEXTSPLIT(cleaned_names1[cleaned name], " "))</f>
        <v>3</v>
      </c>
    </row>
    <row r="249" spans="1:4">
      <c r="A249" s="11" t="s">
        <v>1014</v>
      </c>
      <c r="B249" s="11" t="str">
        <f>TRIM(PROPER(cleaned_names1[[#This Row],[name]]))</f>
        <v>Lan Mei Li</v>
      </c>
      <c r="C249" s="11" t="str">
        <f>_xlfn.XLOOKUP(cleaned_names1[[#This Row],[proper name]], F$2:F$15, G$2:G$15, cleaned_names1[[#This Row],[proper name]])</f>
        <v>Lan Mei Li</v>
      </c>
      <c r="D249" s="11">
        <f>COUNTA(_xlfn.TEXTSPLIT(cleaned_names1[cleaned name], " "))</f>
        <v>3</v>
      </c>
    </row>
    <row r="250" spans="1:4">
      <c r="A250" s="11" t="s">
        <v>1016</v>
      </c>
      <c r="B250" s="11" t="str">
        <f>TRIM(PROPER(cleaned_names1[[#This Row],[name]]))</f>
        <v>Isabel Teresa Rodríguez</v>
      </c>
      <c r="C250" s="11" t="str">
        <f>_xlfn.XLOOKUP(cleaned_names1[[#This Row],[proper name]], F$2:F$15, G$2:G$15, cleaned_names1[[#This Row],[proper name]])</f>
        <v>Isabel Teresa Rodríguez</v>
      </c>
      <c r="D250" s="11">
        <f>COUNTA(_xlfn.TEXTSPLIT(cleaned_names1[cleaned name], " "))</f>
        <v>3</v>
      </c>
    </row>
    <row r="251" spans="1:4">
      <c r="A251" s="11" t="s">
        <v>1130</v>
      </c>
      <c r="B251" s="11" t="str">
        <f>TRIM(PROPER(cleaned_names1[[#This Row],[name]]))</f>
        <v>Sylvie Françoise Robert</v>
      </c>
      <c r="C251" s="11" t="str">
        <f>_xlfn.XLOOKUP(cleaned_names1[[#This Row],[proper name]], F$2:F$15, G$2:G$15, cleaned_names1[[#This Row],[proper name]])</f>
        <v>Sylvie Françoise Robert</v>
      </c>
      <c r="D251" s="11">
        <f>COUNTA(_xlfn.TEXTSPLIT(cleaned_names1[cleaned name], " "))</f>
        <v>3</v>
      </c>
    </row>
    <row r="252" spans="1:4">
      <c r="A252" s="11" t="s">
        <v>1130</v>
      </c>
      <c r="B252" s="11" t="str">
        <f>TRIM(PROPER(cleaned_names1[[#This Row],[name]]))</f>
        <v>Sylvie Françoise Robert</v>
      </c>
      <c r="C252" s="11" t="str">
        <f>_xlfn.XLOOKUP(cleaned_names1[[#This Row],[proper name]], F$2:F$15, G$2:G$15, cleaned_names1[[#This Row],[proper name]])</f>
        <v>Sylvie Françoise Robert</v>
      </c>
      <c r="D252" s="11">
        <f>COUNTA(_xlfn.TEXTSPLIT(cleaned_names1[cleaned name], " "))</f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67353F-81BB-427A-BF88-6212F9D40C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Office</cp:lastModifiedBy>
  <cp:revision/>
  <dcterms:created xsi:type="dcterms:W3CDTF">2026-03-05T10:37:27Z</dcterms:created>
  <dcterms:modified xsi:type="dcterms:W3CDTF">2026-03-06T16:56:40Z</dcterms:modified>
  <cp:category/>
  <cp:contentStatus/>
</cp:coreProperties>
</file>